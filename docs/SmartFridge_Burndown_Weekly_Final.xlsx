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veliy/Desktop/SmartFridge/SmartFridge/docs/"/>
    </mc:Choice>
  </mc:AlternateContent>
  <xr:revisionPtr revIDLastSave="0" documentId="13_ncr:1_{C95D2839-BDDE-3F45-8827-E463DE95D752}" xr6:coauthVersionLast="47" xr6:coauthVersionMax="47" xr10:uidLastSave="{00000000-0000-0000-0000-000000000000}"/>
  <bookViews>
    <workbookView xWindow="0" yWindow="760" windowWidth="30240" windowHeight="17680" activeTab="8" xr2:uid="{00000000-000D-0000-FFFF-FFFF00000000}"/>
  </bookViews>
  <sheets>
    <sheet name="Спринт 1" sheetId="1" r:id="rId1"/>
    <sheet name="Спринт 2" sheetId="2" r:id="rId2"/>
    <sheet name="Спринт 3" sheetId="3" r:id="rId3"/>
    <sheet name="Спринт 4" sheetId="4" r:id="rId4"/>
    <sheet name="Спринт 5" sheetId="23" r:id="rId5"/>
    <sheet name="Спринт 6" sheetId="24" r:id="rId6"/>
    <sheet name="Спринт 7" sheetId="25" r:id="rId7"/>
    <sheet name="Спринт 8" sheetId="8" r:id="rId8"/>
    <sheet name="Спринт 9-10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9" l="1"/>
</calcChain>
</file>

<file path=xl/sharedStrings.xml><?xml version="1.0" encoding="utf-8"?>
<sst xmlns="http://schemas.openxmlformats.org/spreadsheetml/2006/main" count="229" uniqueCount="85">
  <si>
    <t>BURNDOWN CHART — Спринт 1</t>
  </si>
  <si>
    <t>Код</t>
  </si>
  <si>
    <t>Задача</t>
  </si>
  <si>
    <t>SP</t>
  </si>
  <si>
    <t>Готово (день)</t>
  </si>
  <si>
    <t>А1</t>
  </si>
  <si>
    <t>Формирование команды</t>
  </si>
  <si>
    <t>А2</t>
  </si>
  <si>
    <t>Знакомство с навыками участников</t>
  </si>
  <si>
    <t>А3</t>
  </si>
  <si>
    <t>Определение личностных ролей</t>
  </si>
  <si>
    <t>А4</t>
  </si>
  <si>
    <t>Выбор проекта</t>
  </si>
  <si>
    <t>А5</t>
  </si>
  <si>
    <t>Создание предвар. структуры проекта</t>
  </si>
  <si>
    <t>А6</t>
  </si>
  <si>
    <t>Определение достижимых целей</t>
  </si>
  <si>
    <t>А7</t>
  </si>
  <si>
    <t>Планирование командного процесса</t>
  </si>
  <si>
    <t>А8</t>
  </si>
  <si>
    <t>Определение основных этапов развития</t>
  </si>
  <si>
    <t>ИТОГО:</t>
  </si>
  <si>
    <t>День</t>
  </si>
  <si>
    <t>Дата</t>
  </si>
  <si>
    <t>Д.н.</t>
  </si>
  <si>
    <t>План, SP</t>
  </si>
  <si>
    <t>Остаток, SP</t>
  </si>
  <si>
    <t>Пн</t>
  </si>
  <si>
    <t>Вт</t>
  </si>
  <si>
    <t>Ср</t>
  </si>
  <si>
    <t>Чт</t>
  </si>
  <si>
    <t>Пт</t>
  </si>
  <si>
    <t>Сб</t>
  </si>
  <si>
    <t>Вс</t>
  </si>
  <si>
    <t>BURNDOWN CHART — Спринт 2</t>
  </si>
  <si>
    <t>B1</t>
  </si>
  <si>
    <t>Проектирование backend</t>
  </si>
  <si>
    <t>B2</t>
  </si>
  <si>
    <t>Проектирование frontend</t>
  </si>
  <si>
    <t>B3</t>
  </si>
  <si>
    <t>Проектирование БД</t>
  </si>
  <si>
    <t>B4</t>
  </si>
  <si>
    <t>Проектирование взаимодействия с ИИ</t>
  </si>
  <si>
    <t>B5</t>
  </si>
  <si>
    <t>Проектирование API (front↔back)</t>
  </si>
  <si>
    <t>BURNDOWN CHART — Спринт 3</t>
  </si>
  <si>
    <t>B6</t>
  </si>
  <si>
    <t>Проектирование пользов. сценариев</t>
  </si>
  <si>
    <t>B7</t>
  </si>
  <si>
    <t>BURNDOWN CHART — Спринт 4</t>
  </si>
  <si>
    <t>BURNDOWN CHART — Спринт 5</t>
  </si>
  <si>
    <t>BURNDOWN CHART — Спринт 6</t>
  </si>
  <si>
    <t>BURNDOWN CHART — Спринт 8</t>
  </si>
  <si>
    <t>Улучшение UI/UX</t>
  </si>
  <si>
    <t>Подготовка проектной документации</t>
  </si>
  <si>
    <t>Организационные мероприятия  |  8 SP  |  02.03–08.03.2026</t>
  </si>
  <si>
    <t>Проектирование системы (архитектура)  |  9 SP  |  09.03–15.03.2026</t>
  </si>
  <si>
    <t>Реализация архитектуры Backend (начало)</t>
  </si>
  <si>
    <t>Прототип в Figma (макет приложения)</t>
  </si>
  <si>
    <t>Проектирование (сценарии + бэк)  |  8 SP  |  16.03–22.03.2026</t>
  </si>
  <si>
    <t>Разработка БД</t>
  </si>
  <si>
    <t>Разработка начального бэкэнд</t>
  </si>
  <si>
    <t>Прототип в Figma (макет приложения) - довести до ума</t>
  </si>
  <si>
    <t>Разработка ER - Диаграммы</t>
  </si>
  <si>
    <t>Разработка начального фронтенд по макету из Figma</t>
  </si>
  <si>
    <t>Схема данных (Data Modeling)  |  11 SP  |  23.03–30.03.2026</t>
  </si>
  <si>
    <t>Frontend (проект и архитектура)  |  12 SP  |  30.03–05.04.2026</t>
  </si>
  <si>
    <t>Тесты для фронта</t>
  </si>
  <si>
    <t>Тесты для бэка</t>
  </si>
  <si>
    <t>Тесты  |  6 SP  |  06.04–12.04.2026</t>
  </si>
  <si>
    <t>Интеграция AI с базой рецептов</t>
  </si>
  <si>
    <t>Тестирование AI, выбор лучшей бесплатной модели на основе разных промптов</t>
  </si>
  <si>
    <t>AI Assistant  |  14 SP  |  13.04–19.04.2026</t>
  </si>
  <si>
    <t>Блок рецептов (целиком)</t>
  </si>
  <si>
    <t>Добавление продуктов</t>
  </si>
  <si>
    <t>Добавление картинок к продуктам (улучшение ui/ux)</t>
  </si>
  <si>
    <t>Ну вот почти-почти MVP  |  41 SP  |  20.04–26.04.2026</t>
  </si>
  <si>
    <t>BURNDOWN CHART — Спринт 9-10</t>
  </si>
  <si>
    <t>Интеграция AI</t>
  </si>
  <si>
    <t>Базовая аналитика</t>
  </si>
  <si>
    <t>Сохранение данных в БД</t>
  </si>
  <si>
    <t xml:space="preserve">Frontend: страница Аналитики </t>
  </si>
  <si>
    <t>Тестирование + исправление дефектов</t>
  </si>
  <si>
    <t xml:space="preserve">Интеграция AI: распознавание срока годности </t>
  </si>
  <si>
    <t>MVP |  101 SP  |  27.04–10.05.2026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</si>
</sst>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1"/>
      <color rgb="FF4472C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i/>
      <sz val="9"/>
      <color rgb="FF808080"/>
      <name val="Arial"/>
      <family val="2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0" fontId="5" fillId="0" borderId="2" xfId="0" applyFont="1" applyBorder="1"/>
    <xf numFmtId="0" fontId="0" fillId="0" borderId="1" xfId="0" applyBorder="1"/>
    <xf numFmtId="0" fontId="8" fillId="0" borderId="1" xfId="0" applyFont="1" applyFill="1" applyBorder="1" applyAlignment="1">
      <alignment horizontal="center" wrapText="1"/>
    </xf>
    <xf numFmtId="2" fontId="8" fillId="0" borderId="1" xfId="0" applyNumberFormat="1" applyFont="1" applyFill="1" applyBorder="1" applyAlignment="1">
      <alignment horizontal="center"/>
    </xf>
    <xf numFmtId="0" fontId="9" fillId="0" borderId="1" xfId="0" applyFont="1" applyBorder="1"/>
    <xf numFmtId="2" fontId="5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Спринт</a:t>
            </a:r>
            <a:r>
              <a:rPr lang="ru-RU" baseline="0"/>
              <a:t>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('Спринт 1'!$B$16,'Спринт 1'!$B$17,'Спринт 1'!$B$18,'Спринт 1'!$B$19,'Спринт 1'!$B$20,'Спринт 1'!$B$21,'Спринт 1'!$B$22)</c:f>
              <c:numCache>
                <c:formatCode>dd\.mm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xVal>
          <c:yVal>
            <c:numRef>
              <c:f>('Спринт 1'!$D$16,'Спринт 1'!$D$17,'Спринт 1'!$D$18,'Спринт 1'!$D$19,'Спринт 1'!$D$20,'Спринт 1'!$D$21,'Спринт 1'!$D$22)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0-2346-81F7-651971C9E45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('Спринт 1'!$B$16,'Спринт 1'!$B$17,'Спринт 1'!$B$18,'Спринт 1'!$B$19,'Спринт 1'!$B$20,'Спринт 1'!$B$21,'Спринт 1'!$B$22)</c:f>
              <c:numCache>
                <c:formatCode>dd\.mm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xVal>
          <c:yVal>
            <c:numRef>
              <c:f>('Спринт 1'!$E$16,'Спринт 1'!$E$17,'Спринт 1'!$E$18,'Спринт 1'!$E$19,'Спринт 1'!$E$20,'Спринт 1'!$E$21,'Спринт 1'!$E$22)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A0-2346-81F7-651971C9E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2495"/>
        <c:axId val="2066334336"/>
      </c:scatterChart>
      <c:valAx>
        <c:axId val="600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334336"/>
        <c:crosses val="autoZero"/>
        <c:crossBetween val="midCat"/>
      </c:valAx>
      <c:valAx>
        <c:axId val="20663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S</a:t>
                </a:r>
                <a:r>
                  <a:rPr lang="en-US"/>
                  <a:t>toryPoints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6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С</a:t>
            </a:r>
            <a:r>
              <a:rPr lang="ru-RU"/>
              <a:t>принт</a:t>
            </a:r>
            <a:r>
              <a:rPr lang="ru-RU" baseline="0"/>
              <a:t> 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('Спринт 2'!$B$13,'Спринт 2'!$B$14,'Спринт 2'!$B$15,'Спринт 2'!$B$16,'Спринт 2'!$B$17,'Спринт 2'!$B$18,'Спринт 2'!$B$19)</c:f>
              <c:numCache>
                <c:formatCode>dd\.mm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xVal>
          <c:yVal>
            <c:numRef>
              <c:f>('Спринт 2'!$D$13,'Спринт 2'!$D$14,'Спринт 2'!$D$15,'Спринт 2'!$D$16,'Спринт 2'!$D$17,'Спринт 2'!$D$18,'Спринт 2'!$D$19)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A-BD46-89BA-937C035D1C9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('Спринт 2'!$B$13,'Спринт 2'!$B$14,'Спринт 2'!$B$15,'Спринт 2'!$B$16,'Спринт 2'!$B$17,'Спринт 2'!$B$18,'Спринт 2'!$B$19)</c:f>
              <c:numCache>
                <c:formatCode>dd\.mm</c:formatCode>
                <c:ptCount val="7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</c:numCache>
            </c:numRef>
          </c:xVal>
          <c:yVal>
            <c:numRef>
              <c:f>('Спринт 2'!$E$13,'Спринт 2'!$E$14,'Спринт 2'!$E$15,'Спринт 2'!$E$16,'Спринт 2'!$E$17,'Спринт 2'!$E$18,'Спринт 2'!$E$19)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A-BD46-89BA-937C035D1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90512"/>
        <c:axId val="611892240"/>
      </c:scatterChart>
      <c:valAx>
        <c:axId val="61189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892240"/>
        <c:crosses val="autoZero"/>
        <c:crossBetween val="midCat"/>
      </c:valAx>
      <c:valAx>
        <c:axId val="6118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S</a:t>
                </a:r>
                <a:r>
                  <a:rPr lang="en-US"/>
                  <a:t>toryPoints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89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С</a:t>
            </a:r>
            <a:r>
              <a:rPr lang="ru-RU"/>
              <a:t>принт</a:t>
            </a:r>
            <a:r>
              <a:rPr lang="ru-RU" baseline="0"/>
              <a:t> 3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('Спринт 3'!$B$12,'Спринт 3'!$B$13,'Спринт 3'!$B$14,'Спринт 3'!$B$15,'Спринт 3'!$B$16,'Спринт 3'!$B$17,'Спринт 3'!$B$18)</c:f>
              <c:numCache>
                <c:formatCode>dd\.mm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xVal>
          <c:yVal>
            <c:numRef>
              <c:f>('Спринт 3'!$D$12,'Спринт 3'!$D$13,'Спринт 3'!$D$14,'Спринт 3'!$D$15,'Спринт 3'!$D$16,'Спринт 3'!$D$17,'Спринт 3'!$D$18)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D-4D43-BEDB-0A62716AAF1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('Спринт 3'!$B$12,'Спринт 3'!$B$13,'Спринт 3'!$B$14,'Спринт 3'!$B$15,'Спринт 3'!$B$16,'Спринт 3'!$B$17,'Спринт 3'!$B$18)</c:f>
              <c:numCache>
                <c:formatCode>dd\.mm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xVal>
          <c:yVal>
            <c:numRef>
              <c:f>('Спринт 3'!$E$12,'Спринт 3'!$E$13,'Спринт 3'!$E$14,'Спринт 3'!$E$15,'Спринт 3'!$E$16,'Спринт 3'!$E$17,'Спринт 3'!$E$18)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D-4D43-BEDB-0A62716A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32160"/>
        <c:axId val="611842608"/>
      </c:scatterChart>
      <c:valAx>
        <c:axId val="61193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842608"/>
        <c:crosses val="autoZero"/>
        <c:crossBetween val="midCat"/>
      </c:valAx>
      <c:valAx>
        <c:axId val="6118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S</a:t>
                </a:r>
                <a:r>
                  <a:rPr lang="en-US"/>
                  <a:t>toryPoints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93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Спринт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'Спринт 4'!$B$11:$B$17</c:f>
              <c:numCache>
                <c:formatCode>dd\.mm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xVal>
          <c:yVal>
            <c:numRef>
              <c:f>'Спринт 4'!$D$11:$D$17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14</c:v>
                </c:pt>
                <c:pt idx="3">
                  <c:v>13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B-C244-8ED3-8E833E4595E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'Спринт 4'!$B$11:$B$17</c:f>
              <c:numCache>
                <c:formatCode>dd\.mm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xVal>
          <c:yVal>
            <c:numRef>
              <c:f>'Спринт 4'!$E$11:$E$17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12</c:v>
                </c:pt>
                <c:pt idx="5">
                  <c:v>6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7B-C244-8ED3-8E833E459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7775"/>
        <c:axId val="1334495392"/>
      </c:scatterChart>
      <c:valAx>
        <c:axId val="4394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5392"/>
        <c:crosses val="autoZero"/>
        <c:crossBetween val="midCat"/>
      </c:valAx>
      <c:valAx>
        <c:axId val="13344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S</a:t>
                </a:r>
                <a:r>
                  <a:rPr lang="en-US"/>
                  <a:t>toryPoints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4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Спринт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'Спринт 5'!$B$11:$B$17</c:f>
              <c:numCache>
                <c:formatCode>dd\.mm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xVal>
          <c:yVal>
            <c:numRef>
              <c:f>'Спринт 5'!$D$11:$D$17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B-1043-8BAC-B8D6F20AE9B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'Спринт 5'!$B$11:$B$17</c:f>
              <c:numCache>
                <c:formatCode>dd\.mm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xVal>
          <c:yVal>
            <c:numRef>
              <c:f>'Спринт 5'!$E$11:$E$17</c:f>
              <c:numCache>
                <c:formatCode>General</c:formatCode>
                <c:ptCount val="7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B-1043-8BAC-B8D6F20AE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820672"/>
        <c:axId val="813822672"/>
      </c:scatterChart>
      <c:valAx>
        <c:axId val="81382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Date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822672"/>
        <c:crosses val="autoZero"/>
        <c:crossBetween val="midCat"/>
      </c:valAx>
      <c:valAx>
        <c:axId val="8138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toryPoints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82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Спринт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'Спринт 6'!$B$10:$B$16</c:f>
              <c:numCache>
                <c:formatCode>dd\.mm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'Спринт 6'!$D$10:$D$16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8-0A4B-82C9-B12BE8854A5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'Спринт 6'!$B$10:$B$16</c:f>
              <c:numCache>
                <c:formatCode>dd\.mm</c:formatCode>
                <c:ptCount val="7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</c:numCache>
            </c:numRef>
          </c:cat>
          <c:val>
            <c:numRef>
              <c:f>'Спринт 6'!$E$10:$E$16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8-0A4B-82C9-B12BE8854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701968"/>
        <c:axId val="981744352"/>
      </c:lineChart>
      <c:dateAx>
        <c:axId val="9817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D</a:t>
                </a:r>
                <a:r>
                  <a:rPr lang="en-US" sz="1400"/>
                  <a:t>ate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744352"/>
        <c:crosses val="autoZero"/>
        <c:auto val="1"/>
        <c:lblOffset val="100"/>
        <c:baseTimeUnit val="days"/>
      </c:dateAx>
      <c:valAx>
        <c:axId val="9817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StoryPoints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70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Спринт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'Спринт 7'!$B$10:$B$16</c:f>
              <c:numCache>
                <c:formatCode>dd\.mm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xVal>
          <c:yVal>
            <c:numRef>
              <c:f>'Спринт 7'!$D$10:$D$16</c:f>
              <c:numCache>
                <c:formatCode>General</c:formatCode>
                <c:ptCount val="7"/>
                <c:pt idx="0">
                  <c:v>14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8-2D4C-B006-C155BBBA1B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'Спринт 7'!$B$10:$B$16</c:f>
              <c:numCache>
                <c:formatCode>dd\.mm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xVal>
          <c:yVal>
            <c:numRef>
              <c:f>'Спринт 7'!$E$10:$E$16</c:f>
              <c:numCache>
                <c:formatCode>General</c:formatCode>
                <c:ptCount val="7"/>
                <c:pt idx="0">
                  <c:v>14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8-2D4C-B006-C155BBBA1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312911"/>
        <c:axId val="1060793951"/>
      </c:scatterChart>
      <c:valAx>
        <c:axId val="106031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Date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793951"/>
        <c:crosses val="autoZero"/>
        <c:crossBetween val="midCat"/>
      </c:valAx>
      <c:valAx>
        <c:axId val="10607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StoryPoints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31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С</a:t>
            </a:r>
            <a:r>
              <a:rPr lang="ru-RU"/>
              <a:t>принт</a:t>
            </a:r>
            <a:r>
              <a:rPr lang="ru-RU" baseline="0"/>
              <a:t> 8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'Спринт 8'!$B$11:$B$17</c:f>
              <c:numCache>
                <c:formatCode>dd\.mm</c:formatCode>
                <c:ptCount val="7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</c:numCache>
            </c:numRef>
          </c:xVal>
          <c:yVal>
            <c:numRef>
              <c:f>'Спринт 8'!$D$11:$D$17</c:f>
              <c:numCache>
                <c:formatCode>General</c:formatCode>
                <c:ptCount val="7"/>
                <c:pt idx="0">
                  <c:v>41</c:v>
                </c:pt>
                <c:pt idx="1">
                  <c:v>35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19-BF45-97FA-C3C4C40CAE6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'Спринт 8'!$B$11:$B$17</c:f>
              <c:numCache>
                <c:formatCode>dd\.mm</c:formatCode>
                <c:ptCount val="7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</c:numCache>
            </c:numRef>
          </c:xVal>
          <c:yVal>
            <c:numRef>
              <c:f>'Спринт 8'!$E$11:$E$17</c:f>
              <c:numCache>
                <c:formatCode>General</c:formatCode>
                <c:ptCount val="7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19-BF45-97FA-C3C4C40C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678127"/>
        <c:axId val="1997859807"/>
      </c:scatterChart>
      <c:valAx>
        <c:axId val="199767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859807"/>
        <c:crosses val="autoZero"/>
        <c:crossBetween val="midCat"/>
      </c:valAx>
      <c:valAx>
        <c:axId val="199785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S</a:t>
                </a:r>
                <a:r>
                  <a:rPr lang="en-US"/>
                  <a:t>toryPoints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67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С</a:t>
            </a:r>
            <a:r>
              <a:rPr lang="ru-RU" sz="2000"/>
              <a:t>принт</a:t>
            </a:r>
            <a:r>
              <a:rPr lang="ru-RU" sz="2000" baseline="0"/>
              <a:t> 9-10</a:t>
            </a:r>
            <a:endParaRPr lang="ru-RU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'Спринт 9-10'!$B$17:$B$30</c:f>
              <c:numCache>
                <c:formatCode>dd\.mm</c:formatCode>
                <c:ptCount val="14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</c:numCache>
            </c:numRef>
          </c:xVal>
          <c:yVal>
            <c:numRef>
              <c:f>'Спринт 9-10'!$D$17:$D$30</c:f>
              <c:numCache>
                <c:formatCode>General</c:formatCode>
                <c:ptCount val="14"/>
                <c:pt idx="0">
                  <c:v>101</c:v>
                </c:pt>
                <c:pt idx="1">
                  <c:v>95</c:v>
                </c:pt>
                <c:pt idx="2">
                  <c:v>89</c:v>
                </c:pt>
                <c:pt idx="3">
                  <c:v>88</c:v>
                </c:pt>
                <c:pt idx="4">
                  <c:v>83</c:v>
                </c:pt>
                <c:pt idx="5">
                  <c:v>72</c:v>
                </c:pt>
                <c:pt idx="6">
                  <c:v>62</c:v>
                </c:pt>
                <c:pt idx="7">
                  <c:v>58</c:v>
                </c:pt>
                <c:pt idx="8">
                  <c:v>50</c:v>
                </c:pt>
                <c:pt idx="9">
                  <c:v>38</c:v>
                </c:pt>
                <c:pt idx="10">
                  <c:v>24</c:v>
                </c:pt>
                <c:pt idx="11">
                  <c:v>10</c:v>
                </c:pt>
                <c:pt idx="12">
                  <c:v>5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9-B648-8F8B-9A9E8723AD3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'Спринт 9-10'!$B$17:$B$30</c:f>
              <c:numCache>
                <c:formatCode>dd\.mm</c:formatCode>
                <c:ptCount val="14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</c:numCache>
            </c:numRef>
          </c:xVal>
          <c:yVal>
            <c:numRef>
              <c:f>'Спринт 9-10'!$E$17:$E$30</c:f>
              <c:numCache>
                <c:formatCode>General</c:formatCode>
                <c:ptCount val="14"/>
                <c:pt idx="0">
                  <c:v>101</c:v>
                </c:pt>
                <c:pt idx="1">
                  <c:v>89</c:v>
                </c:pt>
                <c:pt idx="2">
                  <c:v>88</c:v>
                </c:pt>
                <c:pt idx="3">
                  <c:v>83</c:v>
                </c:pt>
                <c:pt idx="4">
                  <c:v>80</c:v>
                </c:pt>
                <c:pt idx="5">
                  <c:v>74</c:v>
                </c:pt>
                <c:pt idx="6">
                  <c:v>70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37</c:v>
                </c:pt>
                <c:pt idx="11">
                  <c:v>22</c:v>
                </c:pt>
                <c:pt idx="12">
                  <c:v>10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9-B648-8F8B-9A9E8723A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944351"/>
        <c:axId val="1798946623"/>
      </c:scatterChart>
      <c:valAx>
        <c:axId val="179894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D</a:t>
                </a:r>
                <a:r>
                  <a:rPr lang="en-US" sz="1400"/>
                  <a:t>ate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dd\.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946623"/>
        <c:crosses val="autoZero"/>
        <c:crossBetween val="midCat"/>
      </c:valAx>
      <c:valAx>
        <c:axId val="17989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StoryPoints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94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210039</xdr:colOff>
      <xdr:row>9</xdr:row>
      <xdr:rowOff>976</xdr:rowOff>
    </xdr:from>
    <xdr:to>
      <xdr:col>18</xdr:col>
      <xdr:colOff>469099</xdr:colOff>
      <xdr:row>36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E98D88A-9622-B2DF-8903-C2A227D12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1</xdr:row>
      <xdr:rowOff>107950</xdr:rowOff>
    </xdr:from>
    <xdr:to>
      <xdr:col>15</xdr:col>
      <xdr:colOff>622300</xdr:colOff>
      <xdr:row>23</xdr:row>
      <xdr:rowOff>25400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0F3E8E-9D61-E2C0-FB5F-CCB399C9E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19050</xdr:rowOff>
    </xdr:from>
    <xdr:to>
      <xdr:col>16</xdr:col>
      <xdr:colOff>0</xdr:colOff>
      <xdr:row>26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61E328-4E0D-D5B7-79F7-7DCDBB821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0</xdr:row>
      <xdr:rowOff>101600</xdr:rowOff>
    </xdr:from>
    <xdr:to>
      <xdr:col>17</xdr:col>
      <xdr:colOff>508000</xdr:colOff>
      <xdr:row>26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34A4AD-44A6-CCAB-1B7A-FA02219E6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4</xdr:row>
      <xdr:rowOff>228600</xdr:rowOff>
    </xdr:from>
    <xdr:to>
      <xdr:col>15</xdr:col>
      <xdr:colOff>546100</xdr:colOff>
      <xdr:row>27</xdr:row>
      <xdr:rowOff>63500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BF5E2C0-B333-2B10-1882-C2273F646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3</xdr:row>
      <xdr:rowOff>6350</xdr:rowOff>
    </xdr:from>
    <xdr:to>
      <xdr:col>13</xdr:col>
      <xdr:colOff>165100</xdr:colOff>
      <xdr:row>22</xdr:row>
      <xdr:rowOff>50800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F31EBED-6D1D-1CBA-EFCA-7984B2D32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2</xdr:row>
      <xdr:rowOff>139700</xdr:rowOff>
    </xdr:from>
    <xdr:to>
      <xdr:col>14</xdr:col>
      <xdr:colOff>25400</xdr:colOff>
      <xdr:row>23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1200DF-961D-F2C0-D36E-E66E46127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1</xdr:row>
      <xdr:rowOff>165100</xdr:rowOff>
    </xdr:from>
    <xdr:to>
      <xdr:col>17</xdr:col>
      <xdr:colOff>254000</xdr:colOff>
      <xdr:row>26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EA9289-D21C-5966-06B8-7CFAFE0C2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641350</xdr:colOff>
      <xdr:row>1</xdr:row>
      <xdr:rowOff>12700</xdr:rowOff>
    </xdr:from>
    <xdr:to>
      <xdr:col>22</xdr:col>
      <xdr:colOff>469900</xdr:colOff>
      <xdr:row>35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F69C41-C7F6-84B1-9D55-580C49FA0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3" zoomScale="111" zoomScaleNormal="130" workbookViewId="0">
      <selection activeCell="E29" sqref="E29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6" customWidth="1"/>
    <col min="4" max="4" width="12" customWidth="1"/>
    <col min="5" max="5" width="14" customWidth="1"/>
  </cols>
  <sheetData>
    <row r="1" spans="1:6" ht="18" x14ac:dyDescent="0.2">
      <c r="A1" s="14" t="s">
        <v>0</v>
      </c>
      <c r="B1" s="13"/>
      <c r="C1" s="13"/>
      <c r="D1" s="13"/>
      <c r="E1" s="13"/>
      <c r="F1" s="13"/>
    </row>
    <row r="2" spans="1:6" x14ac:dyDescent="0.2">
      <c r="A2" s="12" t="s">
        <v>55</v>
      </c>
      <c r="B2" s="13"/>
      <c r="C2" s="13"/>
      <c r="D2" s="13"/>
      <c r="E2" s="13"/>
      <c r="F2" s="13"/>
    </row>
    <row r="4" spans="1:6" ht="28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6" x14ac:dyDescent="0.2">
      <c r="A5" s="2" t="s">
        <v>5</v>
      </c>
      <c r="B5" s="3" t="s">
        <v>6</v>
      </c>
      <c r="C5" s="2">
        <v>1</v>
      </c>
      <c r="D5" s="2">
        <v>1</v>
      </c>
    </row>
    <row r="6" spans="1:6" x14ac:dyDescent="0.2">
      <c r="A6" s="2" t="s">
        <v>7</v>
      </c>
      <c r="B6" s="3" t="s">
        <v>8</v>
      </c>
      <c r="C6" s="2">
        <v>1</v>
      </c>
      <c r="D6" s="2">
        <v>1</v>
      </c>
    </row>
    <row r="7" spans="1:6" x14ac:dyDescent="0.2">
      <c r="A7" s="2" t="s">
        <v>9</v>
      </c>
      <c r="B7" s="3" t="s">
        <v>10</v>
      </c>
      <c r="C7" s="2">
        <v>1</v>
      </c>
      <c r="D7" s="2">
        <v>2</v>
      </c>
    </row>
    <row r="8" spans="1:6" x14ac:dyDescent="0.2">
      <c r="A8" s="2" t="s">
        <v>11</v>
      </c>
      <c r="B8" s="3" t="s">
        <v>12</v>
      </c>
      <c r="C8" s="2">
        <v>1</v>
      </c>
      <c r="D8" s="2">
        <v>2</v>
      </c>
    </row>
    <row r="9" spans="1:6" x14ac:dyDescent="0.2">
      <c r="A9" s="2" t="s">
        <v>13</v>
      </c>
      <c r="B9" s="3" t="s">
        <v>14</v>
      </c>
      <c r="C9" s="2">
        <v>1</v>
      </c>
      <c r="D9" s="2">
        <v>3</v>
      </c>
    </row>
    <row r="10" spans="1:6" x14ac:dyDescent="0.2">
      <c r="A10" s="2" t="s">
        <v>15</v>
      </c>
      <c r="B10" s="3" t="s">
        <v>16</v>
      </c>
      <c r="C10" s="2">
        <v>1</v>
      </c>
      <c r="D10" s="2">
        <v>4</v>
      </c>
    </row>
    <row r="11" spans="1:6" x14ac:dyDescent="0.2">
      <c r="A11" s="2" t="s">
        <v>17</v>
      </c>
      <c r="B11" s="3" t="s">
        <v>18</v>
      </c>
      <c r="C11" s="2">
        <v>1</v>
      </c>
      <c r="D11" s="2">
        <v>5</v>
      </c>
    </row>
    <row r="12" spans="1:6" x14ac:dyDescent="0.2">
      <c r="A12" s="2" t="s">
        <v>19</v>
      </c>
      <c r="B12" s="3" t="s">
        <v>20</v>
      </c>
      <c r="C12" s="2">
        <v>1</v>
      </c>
      <c r="D12" s="2">
        <v>6</v>
      </c>
    </row>
    <row r="13" spans="1:6" x14ac:dyDescent="0.2">
      <c r="B13" s="4" t="s">
        <v>21</v>
      </c>
      <c r="C13" s="5">
        <v>8</v>
      </c>
    </row>
    <row r="15" spans="1:6" x14ac:dyDescent="0.2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</row>
    <row r="16" spans="1:6" x14ac:dyDescent="0.2">
      <c r="A16" s="2">
        <v>0</v>
      </c>
      <c r="B16" s="6">
        <v>46083</v>
      </c>
      <c r="C16" s="2" t="s">
        <v>27</v>
      </c>
      <c r="D16" s="2">
        <v>8</v>
      </c>
      <c r="E16" s="7">
        <v>8</v>
      </c>
    </row>
    <row r="17" spans="1:5" x14ac:dyDescent="0.2">
      <c r="A17" s="2">
        <v>1</v>
      </c>
      <c r="B17" s="6">
        <v>46084</v>
      </c>
      <c r="C17" s="2" t="s">
        <v>28</v>
      </c>
      <c r="D17" s="2">
        <v>6</v>
      </c>
      <c r="E17" s="8">
        <v>8</v>
      </c>
    </row>
    <row r="18" spans="1:5" x14ac:dyDescent="0.2">
      <c r="A18" s="2">
        <v>2</v>
      </c>
      <c r="B18" s="6">
        <v>46085</v>
      </c>
      <c r="C18" s="2" t="s">
        <v>29</v>
      </c>
      <c r="D18" s="2">
        <v>4</v>
      </c>
      <c r="E18" s="8">
        <v>8</v>
      </c>
    </row>
    <row r="19" spans="1:5" x14ac:dyDescent="0.2">
      <c r="A19" s="2">
        <v>3</v>
      </c>
      <c r="B19" s="6">
        <v>46086</v>
      </c>
      <c r="C19" s="2" t="s">
        <v>30</v>
      </c>
      <c r="D19" s="2">
        <v>3</v>
      </c>
      <c r="E19" s="8">
        <v>8</v>
      </c>
    </row>
    <row r="20" spans="1:5" x14ac:dyDescent="0.2">
      <c r="A20" s="2">
        <v>4</v>
      </c>
      <c r="B20" s="6">
        <v>46087</v>
      </c>
      <c r="C20" s="2" t="s">
        <v>31</v>
      </c>
      <c r="D20" s="2">
        <v>2</v>
      </c>
      <c r="E20" s="8">
        <v>8</v>
      </c>
    </row>
    <row r="21" spans="1:5" x14ac:dyDescent="0.2">
      <c r="A21" s="9">
        <v>5</v>
      </c>
      <c r="B21" s="6">
        <v>46088</v>
      </c>
      <c r="C21" s="9" t="s">
        <v>32</v>
      </c>
      <c r="D21" s="9">
        <v>1</v>
      </c>
      <c r="E21" s="8">
        <v>8</v>
      </c>
    </row>
    <row r="22" spans="1:5" x14ac:dyDescent="0.2">
      <c r="A22" s="9">
        <v>6</v>
      </c>
      <c r="B22" s="6">
        <v>46089</v>
      </c>
      <c r="C22" s="9" t="s">
        <v>33</v>
      </c>
      <c r="D22" s="9">
        <v>0</v>
      </c>
      <c r="E22" s="8">
        <v>0</v>
      </c>
    </row>
    <row r="23" spans="1:5" x14ac:dyDescent="0.2">
      <c r="A23" s="2"/>
      <c r="B23" s="6"/>
      <c r="C23" s="2"/>
      <c r="D23" s="10"/>
      <c r="E23" s="11"/>
    </row>
    <row r="25" spans="1:5" x14ac:dyDescent="0.2">
      <c r="A25" s="15"/>
      <c r="B25" s="13"/>
      <c r="C25" s="13"/>
      <c r="D25" s="13"/>
      <c r="E25" s="13"/>
    </row>
  </sheetData>
  <mergeCells count="3">
    <mergeCell ref="A2:F2"/>
    <mergeCell ref="A1:F1"/>
    <mergeCell ref="A25:E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D33" sqref="D33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6" customWidth="1"/>
    <col min="4" max="4" width="12" customWidth="1"/>
    <col min="5" max="5" width="14" customWidth="1"/>
  </cols>
  <sheetData>
    <row r="1" spans="1:6" ht="18" x14ac:dyDescent="0.2">
      <c r="A1" s="14" t="s">
        <v>34</v>
      </c>
      <c r="B1" s="13"/>
      <c r="C1" s="13"/>
      <c r="D1" s="13"/>
      <c r="E1" s="13"/>
      <c r="F1" s="13"/>
    </row>
    <row r="2" spans="1:6" x14ac:dyDescent="0.2">
      <c r="A2" s="12" t="s">
        <v>56</v>
      </c>
      <c r="B2" s="13"/>
      <c r="C2" s="13"/>
      <c r="D2" s="13"/>
      <c r="E2" s="13"/>
      <c r="F2" s="13"/>
    </row>
    <row r="4" spans="1:6" ht="28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6" x14ac:dyDescent="0.2">
      <c r="A5" s="2" t="s">
        <v>35</v>
      </c>
      <c r="B5" s="3" t="s">
        <v>36</v>
      </c>
      <c r="C5" s="2">
        <v>2</v>
      </c>
      <c r="D5" s="2">
        <v>2</v>
      </c>
    </row>
    <row r="6" spans="1:6" x14ac:dyDescent="0.2">
      <c r="A6" s="2" t="s">
        <v>37</v>
      </c>
      <c r="B6" s="3" t="s">
        <v>38</v>
      </c>
      <c r="C6" s="2">
        <v>2</v>
      </c>
      <c r="D6" s="2">
        <v>2</v>
      </c>
    </row>
    <row r="7" spans="1:6" x14ac:dyDescent="0.2">
      <c r="A7" s="2" t="s">
        <v>39</v>
      </c>
      <c r="B7" s="3" t="s">
        <v>40</v>
      </c>
      <c r="C7" s="2">
        <v>2</v>
      </c>
      <c r="D7" s="2">
        <v>3</v>
      </c>
    </row>
    <row r="8" spans="1:6" x14ac:dyDescent="0.2">
      <c r="A8" s="2" t="s">
        <v>41</v>
      </c>
      <c r="B8" s="3" t="s">
        <v>42</v>
      </c>
      <c r="C8" s="2">
        <v>2</v>
      </c>
      <c r="D8" s="2">
        <v>3</v>
      </c>
    </row>
    <row r="9" spans="1:6" x14ac:dyDescent="0.2">
      <c r="A9" s="2" t="s">
        <v>43</v>
      </c>
      <c r="B9" s="3" t="s">
        <v>44</v>
      </c>
      <c r="C9" s="2">
        <v>1</v>
      </c>
      <c r="D9" s="2">
        <v>4</v>
      </c>
    </row>
    <row r="10" spans="1:6" x14ac:dyDescent="0.2">
      <c r="B10" s="4" t="s">
        <v>21</v>
      </c>
      <c r="C10" s="5">
        <v>9</v>
      </c>
    </row>
    <row r="12" spans="1:6" x14ac:dyDescent="0.2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</row>
    <row r="13" spans="1:6" x14ac:dyDescent="0.2">
      <c r="A13" s="2">
        <v>0</v>
      </c>
      <c r="B13" s="6">
        <v>46090</v>
      </c>
      <c r="C13" s="2" t="s">
        <v>27</v>
      </c>
      <c r="D13" s="2">
        <v>6</v>
      </c>
      <c r="E13" s="7">
        <v>6</v>
      </c>
    </row>
    <row r="14" spans="1:6" x14ac:dyDescent="0.2">
      <c r="A14" s="2">
        <v>1</v>
      </c>
      <c r="B14" s="6">
        <v>46091</v>
      </c>
      <c r="C14" s="2" t="s">
        <v>28</v>
      </c>
      <c r="D14" s="2">
        <v>5</v>
      </c>
      <c r="E14" s="8">
        <v>6</v>
      </c>
    </row>
    <row r="15" spans="1:6" x14ac:dyDescent="0.2">
      <c r="A15" s="2">
        <v>2</v>
      </c>
      <c r="B15" s="6">
        <v>46092</v>
      </c>
      <c r="C15" s="2" t="s">
        <v>29</v>
      </c>
      <c r="D15" s="2">
        <v>4</v>
      </c>
      <c r="E15" s="8">
        <v>4</v>
      </c>
    </row>
    <row r="16" spans="1:6" x14ac:dyDescent="0.2">
      <c r="A16" s="2">
        <v>3</v>
      </c>
      <c r="B16" s="6">
        <v>46093</v>
      </c>
      <c r="C16" s="2" t="s">
        <v>30</v>
      </c>
      <c r="D16" s="2">
        <v>3</v>
      </c>
      <c r="E16" s="8">
        <v>4</v>
      </c>
    </row>
    <row r="17" spans="1:5" x14ac:dyDescent="0.2">
      <c r="A17" s="2">
        <v>4</v>
      </c>
      <c r="B17" s="6">
        <v>46094</v>
      </c>
      <c r="C17" s="2" t="s">
        <v>31</v>
      </c>
      <c r="D17" s="2">
        <v>2</v>
      </c>
      <c r="E17" s="8">
        <v>3</v>
      </c>
    </row>
    <row r="18" spans="1:5" x14ac:dyDescent="0.2">
      <c r="A18" s="9">
        <v>5</v>
      </c>
      <c r="B18" s="6">
        <v>46095</v>
      </c>
      <c r="C18" s="9" t="s">
        <v>32</v>
      </c>
      <c r="D18" s="9">
        <v>1</v>
      </c>
      <c r="E18" s="8">
        <v>1</v>
      </c>
    </row>
    <row r="19" spans="1:5" x14ac:dyDescent="0.2">
      <c r="A19" s="9">
        <v>6</v>
      </c>
      <c r="B19" s="6">
        <v>46096</v>
      </c>
      <c r="C19" s="9" t="s">
        <v>33</v>
      </c>
      <c r="D19" s="9">
        <v>0</v>
      </c>
      <c r="E19" s="8">
        <v>0</v>
      </c>
    </row>
    <row r="20" spans="1:5" x14ac:dyDescent="0.2">
      <c r="A20" s="2"/>
      <c r="B20" s="6"/>
      <c r="C20" s="2"/>
      <c r="D20" s="10"/>
      <c r="E20" s="11"/>
    </row>
    <row r="22" spans="1:5" x14ac:dyDescent="0.2">
      <c r="A22" s="15"/>
      <c r="B22" s="13"/>
      <c r="C22" s="13"/>
      <c r="D22" s="13"/>
      <c r="E22" s="13"/>
    </row>
  </sheetData>
  <mergeCells count="3">
    <mergeCell ref="A2:F2"/>
    <mergeCell ref="A22:E22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D19" sqref="D19:E19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6" customWidth="1"/>
    <col min="4" max="4" width="12" customWidth="1"/>
    <col min="5" max="5" width="14" customWidth="1"/>
  </cols>
  <sheetData>
    <row r="1" spans="1:6" ht="18" x14ac:dyDescent="0.2">
      <c r="A1" s="14" t="s">
        <v>45</v>
      </c>
      <c r="B1" s="13"/>
      <c r="C1" s="13"/>
      <c r="D1" s="13"/>
      <c r="E1" s="13"/>
      <c r="F1" s="13"/>
    </row>
    <row r="2" spans="1:6" x14ac:dyDescent="0.2">
      <c r="A2" s="12" t="s">
        <v>59</v>
      </c>
      <c r="B2" s="13"/>
      <c r="C2" s="13"/>
      <c r="D2" s="13"/>
      <c r="E2" s="13"/>
      <c r="F2" s="13"/>
    </row>
    <row r="4" spans="1:6" ht="28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6" x14ac:dyDescent="0.2">
      <c r="A5" s="2" t="s">
        <v>41</v>
      </c>
      <c r="B5" s="3" t="s">
        <v>42</v>
      </c>
      <c r="C5" s="2">
        <v>2</v>
      </c>
      <c r="D5" s="2">
        <v>3</v>
      </c>
    </row>
    <row r="6" spans="1:6" x14ac:dyDescent="0.2">
      <c r="A6" s="2" t="s">
        <v>43</v>
      </c>
      <c r="B6" s="3" t="s">
        <v>44</v>
      </c>
      <c r="C6" s="2">
        <v>1</v>
      </c>
      <c r="D6" s="2">
        <v>4</v>
      </c>
    </row>
    <row r="7" spans="1:6" x14ac:dyDescent="0.2">
      <c r="A7" s="2" t="s">
        <v>46</v>
      </c>
      <c r="B7" s="3" t="s">
        <v>47</v>
      </c>
      <c r="C7" s="2">
        <v>3</v>
      </c>
      <c r="D7" s="2">
        <v>5</v>
      </c>
    </row>
    <row r="8" spans="1:6" x14ac:dyDescent="0.2">
      <c r="A8" s="2" t="s">
        <v>48</v>
      </c>
      <c r="B8" s="3" t="s">
        <v>57</v>
      </c>
      <c r="C8" s="2">
        <v>2</v>
      </c>
      <c r="D8" s="2">
        <v>6</v>
      </c>
    </row>
    <row r="9" spans="1:6" x14ac:dyDescent="0.2">
      <c r="B9" s="4" t="s">
        <v>21</v>
      </c>
      <c r="C9" s="5">
        <v>8</v>
      </c>
    </row>
    <row r="11" spans="1:6" x14ac:dyDescent="0.2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</row>
    <row r="12" spans="1:6" x14ac:dyDescent="0.2">
      <c r="A12" s="2">
        <v>0</v>
      </c>
      <c r="B12" s="6">
        <v>46097</v>
      </c>
      <c r="C12" s="2" t="s">
        <v>27</v>
      </c>
      <c r="D12" s="2">
        <v>8</v>
      </c>
      <c r="E12" s="7">
        <v>8</v>
      </c>
    </row>
    <row r="13" spans="1:6" x14ac:dyDescent="0.2">
      <c r="A13" s="2">
        <v>1</v>
      </c>
      <c r="B13" s="6">
        <v>46098</v>
      </c>
      <c r="C13" s="2" t="s">
        <v>28</v>
      </c>
      <c r="D13" s="2">
        <v>6</v>
      </c>
      <c r="E13" s="8">
        <v>7</v>
      </c>
    </row>
    <row r="14" spans="1:6" x14ac:dyDescent="0.2">
      <c r="A14" s="2">
        <v>2</v>
      </c>
      <c r="B14" s="6">
        <v>46099</v>
      </c>
      <c r="C14" s="2" t="s">
        <v>29</v>
      </c>
      <c r="D14" s="2">
        <v>5</v>
      </c>
      <c r="E14" s="8">
        <v>7</v>
      </c>
    </row>
    <row r="15" spans="1:6" x14ac:dyDescent="0.2">
      <c r="A15" s="2">
        <v>3</v>
      </c>
      <c r="B15" s="6">
        <v>46100</v>
      </c>
      <c r="C15" s="2" t="s">
        <v>30</v>
      </c>
      <c r="D15" s="2">
        <v>2</v>
      </c>
      <c r="E15" s="8">
        <v>7</v>
      </c>
    </row>
    <row r="16" spans="1:6" x14ac:dyDescent="0.2">
      <c r="A16" s="2">
        <v>4</v>
      </c>
      <c r="B16" s="6">
        <v>46101</v>
      </c>
      <c r="C16" s="2" t="s">
        <v>31</v>
      </c>
      <c r="D16" s="2">
        <v>2</v>
      </c>
      <c r="E16" s="8">
        <v>4</v>
      </c>
    </row>
    <row r="17" spans="1:5" x14ac:dyDescent="0.2">
      <c r="A17" s="9">
        <v>5</v>
      </c>
      <c r="B17" s="6">
        <v>46102</v>
      </c>
      <c r="C17" s="9" t="s">
        <v>32</v>
      </c>
      <c r="D17" s="9">
        <v>2</v>
      </c>
      <c r="E17" s="8">
        <v>2</v>
      </c>
    </row>
    <row r="18" spans="1:5" x14ac:dyDescent="0.2">
      <c r="A18" s="9">
        <v>6</v>
      </c>
      <c r="B18" s="6">
        <v>46103</v>
      </c>
      <c r="C18" s="9" t="s">
        <v>33</v>
      </c>
      <c r="D18" s="9">
        <v>0</v>
      </c>
      <c r="E18" s="8">
        <v>0</v>
      </c>
    </row>
    <row r="19" spans="1:5" x14ac:dyDescent="0.2">
      <c r="A19" s="2"/>
      <c r="B19" s="6"/>
      <c r="C19" s="2"/>
      <c r="D19" s="10"/>
      <c r="E19" s="11"/>
    </row>
    <row r="21" spans="1:5" x14ac:dyDescent="0.2">
      <c r="A21" s="15"/>
      <c r="B21" s="13"/>
      <c r="C21" s="13"/>
      <c r="D21" s="13"/>
      <c r="E21" s="13"/>
    </row>
  </sheetData>
  <mergeCells count="3">
    <mergeCell ref="A2:F2"/>
    <mergeCell ref="A1:F1"/>
    <mergeCell ref="A21:E2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6" customWidth="1"/>
    <col min="4" max="4" width="12" customWidth="1"/>
    <col min="5" max="5" width="14" customWidth="1"/>
  </cols>
  <sheetData>
    <row r="1" spans="1:6" ht="18" x14ac:dyDescent="0.2">
      <c r="A1" s="14" t="s">
        <v>49</v>
      </c>
      <c r="B1" s="13"/>
      <c r="C1" s="13"/>
      <c r="D1" s="13"/>
      <c r="E1" s="13"/>
      <c r="F1" s="13"/>
    </row>
    <row r="2" spans="1:6" x14ac:dyDescent="0.2">
      <c r="A2" s="12" t="s">
        <v>65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x14ac:dyDescent="0.2">
      <c r="A5" s="2" t="s">
        <v>48</v>
      </c>
      <c r="B5" s="3" t="s">
        <v>58</v>
      </c>
      <c r="C5" s="2">
        <v>5</v>
      </c>
      <c r="D5" s="2"/>
    </row>
    <row r="6" spans="1:6" x14ac:dyDescent="0.2">
      <c r="A6" s="2"/>
      <c r="B6" s="3" t="s">
        <v>60</v>
      </c>
      <c r="C6" s="2">
        <v>9</v>
      </c>
      <c r="D6" s="2"/>
    </row>
    <row r="7" spans="1:6" x14ac:dyDescent="0.2">
      <c r="A7" s="2"/>
      <c r="B7" s="3" t="s">
        <v>61</v>
      </c>
      <c r="C7" s="2">
        <v>5</v>
      </c>
      <c r="D7" s="2"/>
    </row>
    <row r="8" spans="1:6" x14ac:dyDescent="0.2">
      <c r="B8" s="4" t="s">
        <v>21</v>
      </c>
      <c r="C8" s="5">
        <v>19</v>
      </c>
    </row>
    <row r="10" spans="1:6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</row>
    <row r="11" spans="1:6" x14ac:dyDescent="0.2">
      <c r="A11" s="2">
        <v>0</v>
      </c>
      <c r="B11" s="6">
        <v>46104</v>
      </c>
      <c r="C11" s="2" t="s">
        <v>27</v>
      </c>
      <c r="D11" s="2">
        <v>19</v>
      </c>
      <c r="E11" s="7">
        <v>19</v>
      </c>
    </row>
    <row r="12" spans="1:6" x14ac:dyDescent="0.2">
      <c r="A12" s="2">
        <v>1</v>
      </c>
      <c r="B12" s="6">
        <v>46105</v>
      </c>
      <c r="C12" s="2" t="s">
        <v>28</v>
      </c>
      <c r="D12" s="2">
        <v>17</v>
      </c>
      <c r="E12" s="8">
        <v>17</v>
      </c>
    </row>
    <row r="13" spans="1:6" x14ac:dyDescent="0.2">
      <c r="A13" s="2">
        <v>2</v>
      </c>
      <c r="B13" s="6">
        <v>46106</v>
      </c>
      <c r="C13" s="2" t="s">
        <v>29</v>
      </c>
      <c r="D13" s="2">
        <v>14</v>
      </c>
      <c r="E13" s="8">
        <v>16</v>
      </c>
    </row>
    <row r="14" spans="1:6" x14ac:dyDescent="0.2">
      <c r="A14" s="2">
        <v>3</v>
      </c>
      <c r="B14" s="6">
        <v>46107</v>
      </c>
      <c r="C14" s="2" t="s">
        <v>30</v>
      </c>
      <c r="D14" s="2">
        <v>13</v>
      </c>
      <c r="E14" s="8">
        <v>16</v>
      </c>
    </row>
    <row r="15" spans="1:6" x14ac:dyDescent="0.2">
      <c r="A15" s="2">
        <v>4</v>
      </c>
      <c r="B15" s="6">
        <v>46108</v>
      </c>
      <c r="C15" s="2" t="s">
        <v>31</v>
      </c>
      <c r="D15" s="2">
        <v>8</v>
      </c>
      <c r="E15" s="8">
        <v>12</v>
      </c>
    </row>
    <row r="16" spans="1:6" x14ac:dyDescent="0.2">
      <c r="A16" s="9">
        <v>5</v>
      </c>
      <c r="B16" s="6">
        <v>46109</v>
      </c>
      <c r="C16" s="9" t="s">
        <v>32</v>
      </c>
      <c r="D16" s="9">
        <v>4</v>
      </c>
      <c r="E16" s="8">
        <v>6</v>
      </c>
    </row>
    <row r="17" spans="1:5" x14ac:dyDescent="0.2">
      <c r="A17" s="9">
        <v>6</v>
      </c>
      <c r="B17" s="6">
        <v>46110</v>
      </c>
      <c r="C17" s="9" t="s">
        <v>33</v>
      </c>
      <c r="D17" s="9">
        <v>0</v>
      </c>
      <c r="E17" s="8">
        <v>0</v>
      </c>
    </row>
    <row r="18" spans="1:5" x14ac:dyDescent="0.2">
      <c r="D18" s="10"/>
      <c r="E18" s="11"/>
    </row>
    <row r="19" spans="1:5" x14ac:dyDescent="0.2">
      <c r="A19" s="15"/>
      <c r="B19" s="13"/>
      <c r="C19" s="13"/>
      <c r="D19" s="13"/>
      <c r="E19" s="13"/>
    </row>
  </sheetData>
  <mergeCells count="3">
    <mergeCell ref="A2:F2"/>
    <mergeCell ref="A1:F1"/>
    <mergeCell ref="A19:E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7EA5-0252-7A46-BE21-472A59446858}">
  <dimension ref="A1:F19"/>
  <sheetViews>
    <sheetView workbookViewId="0">
      <selection activeCell="G22" sqref="A1:G22"/>
    </sheetView>
  </sheetViews>
  <sheetFormatPr baseColWidth="10" defaultRowHeight="15" x14ac:dyDescent="0.2"/>
  <cols>
    <col min="1" max="1" width="10.1640625" customWidth="1"/>
    <col min="2" max="2" width="42" customWidth="1"/>
  </cols>
  <sheetData>
    <row r="1" spans="1:6" ht="18" x14ac:dyDescent="0.2">
      <c r="A1" s="14" t="s">
        <v>50</v>
      </c>
      <c r="B1" s="13"/>
      <c r="C1" s="13"/>
      <c r="D1" s="13"/>
      <c r="E1" s="13"/>
      <c r="F1" s="13"/>
    </row>
    <row r="2" spans="1:6" x14ac:dyDescent="0.2">
      <c r="A2" s="12" t="s">
        <v>66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ht="35" customHeight="1" x14ac:dyDescent="0.2">
      <c r="A5" s="2" t="s">
        <v>48</v>
      </c>
      <c r="B5" s="3" t="s">
        <v>62</v>
      </c>
      <c r="C5" s="2">
        <v>3</v>
      </c>
      <c r="D5" s="2"/>
    </row>
    <row r="6" spans="1:6" x14ac:dyDescent="0.2">
      <c r="A6" s="2"/>
      <c r="B6" s="3" t="s">
        <v>63</v>
      </c>
      <c r="C6" s="2">
        <v>3</v>
      </c>
      <c r="D6" s="2"/>
    </row>
    <row r="7" spans="1:6" ht="28" customHeight="1" x14ac:dyDescent="0.2">
      <c r="A7" s="2"/>
      <c r="B7" s="3" t="s">
        <v>64</v>
      </c>
      <c r="C7" s="2">
        <v>6</v>
      </c>
      <c r="D7" s="2"/>
    </row>
    <row r="8" spans="1:6" x14ac:dyDescent="0.2">
      <c r="B8" s="4" t="s">
        <v>21</v>
      </c>
      <c r="C8" s="5">
        <v>12</v>
      </c>
    </row>
    <row r="10" spans="1:6" ht="28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</row>
    <row r="11" spans="1:6" x14ac:dyDescent="0.2">
      <c r="A11" s="2">
        <v>0</v>
      </c>
      <c r="B11" s="6">
        <v>46111</v>
      </c>
      <c r="C11" s="2" t="s">
        <v>27</v>
      </c>
      <c r="D11" s="2">
        <v>12</v>
      </c>
      <c r="E11" s="7">
        <v>12</v>
      </c>
    </row>
    <row r="12" spans="1:6" x14ac:dyDescent="0.2">
      <c r="A12" s="2">
        <v>1</v>
      </c>
      <c r="B12" s="6">
        <v>46112</v>
      </c>
      <c r="C12" s="2" t="s">
        <v>28</v>
      </c>
      <c r="D12" s="2">
        <v>10</v>
      </c>
      <c r="E12" s="8">
        <v>8</v>
      </c>
    </row>
    <row r="13" spans="1:6" x14ac:dyDescent="0.2">
      <c r="A13" s="2">
        <v>2</v>
      </c>
      <c r="B13" s="6">
        <v>46113</v>
      </c>
      <c r="C13" s="2" t="s">
        <v>29</v>
      </c>
      <c r="D13" s="2">
        <v>9</v>
      </c>
      <c r="E13" s="8">
        <v>8</v>
      </c>
    </row>
    <row r="14" spans="1:6" x14ac:dyDescent="0.2">
      <c r="A14" s="2">
        <v>3</v>
      </c>
      <c r="B14" s="6">
        <v>46114</v>
      </c>
      <c r="C14" s="2" t="s">
        <v>30</v>
      </c>
      <c r="D14" s="2">
        <v>7</v>
      </c>
      <c r="E14" s="8">
        <v>8</v>
      </c>
    </row>
    <row r="15" spans="1:6" x14ac:dyDescent="0.2">
      <c r="A15" s="2">
        <v>4</v>
      </c>
      <c r="B15" s="6">
        <v>46115</v>
      </c>
      <c r="C15" s="2" t="s">
        <v>31</v>
      </c>
      <c r="D15" s="2">
        <v>6</v>
      </c>
      <c r="E15" s="8">
        <v>5</v>
      </c>
    </row>
    <row r="16" spans="1:6" x14ac:dyDescent="0.2">
      <c r="A16" s="9">
        <v>5</v>
      </c>
      <c r="B16" s="6">
        <v>46116</v>
      </c>
      <c r="C16" s="9" t="s">
        <v>32</v>
      </c>
      <c r="D16" s="9">
        <v>4</v>
      </c>
      <c r="E16" s="8">
        <v>3</v>
      </c>
    </row>
    <row r="17" spans="1:5" x14ac:dyDescent="0.2">
      <c r="A17" s="9">
        <v>6</v>
      </c>
      <c r="B17" s="6">
        <v>46117</v>
      </c>
      <c r="C17" s="9" t="s">
        <v>33</v>
      </c>
      <c r="D17" s="9">
        <v>0</v>
      </c>
      <c r="E17" s="8">
        <v>0</v>
      </c>
    </row>
    <row r="18" spans="1:5" x14ac:dyDescent="0.2">
      <c r="D18" s="10"/>
      <c r="E18" s="11"/>
    </row>
    <row r="19" spans="1:5" x14ac:dyDescent="0.2">
      <c r="A19" s="15"/>
      <c r="B19" s="13"/>
      <c r="C19" s="13"/>
      <c r="D19" s="13"/>
      <c r="E19" s="13"/>
    </row>
  </sheetData>
  <mergeCells count="3">
    <mergeCell ref="A1:F1"/>
    <mergeCell ref="A2:F2"/>
    <mergeCell ref="A19:E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1197-F81C-C24E-A01B-EFF845F5866E}">
  <dimension ref="A1:F18"/>
  <sheetViews>
    <sheetView workbookViewId="0">
      <selection activeCell="D13" sqref="D13"/>
    </sheetView>
  </sheetViews>
  <sheetFormatPr baseColWidth="10" defaultRowHeight="15" x14ac:dyDescent="0.2"/>
  <cols>
    <col min="2" max="2" width="39.1640625" customWidth="1"/>
  </cols>
  <sheetData>
    <row r="1" spans="1:6" ht="18" x14ac:dyDescent="0.2">
      <c r="A1" s="14" t="s">
        <v>51</v>
      </c>
      <c r="B1" s="13"/>
      <c r="C1" s="13"/>
      <c r="D1" s="13"/>
      <c r="E1" s="13"/>
      <c r="F1" s="13"/>
    </row>
    <row r="2" spans="1:6" x14ac:dyDescent="0.2">
      <c r="A2" s="12" t="s">
        <v>69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ht="40" customHeight="1" x14ac:dyDescent="0.2">
      <c r="A5" s="2"/>
      <c r="B5" s="3" t="s">
        <v>67</v>
      </c>
      <c r="C5" s="2">
        <v>3</v>
      </c>
      <c r="D5" s="2"/>
    </row>
    <row r="6" spans="1:6" ht="24" customHeight="1" x14ac:dyDescent="0.2">
      <c r="A6" s="2"/>
      <c r="B6" s="3" t="s">
        <v>68</v>
      </c>
      <c r="C6" s="2">
        <v>3</v>
      </c>
      <c r="D6" s="2"/>
    </row>
    <row r="7" spans="1:6" x14ac:dyDescent="0.2">
      <c r="B7" s="4" t="s">
        <v>21</v>
      </c>
      <c r="C7" s="5">
        <v>6</v>
      </c>
    </row>
    <row r="9" spans="1:6" ht="28" x14ac:dyDescent="0.2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</row>
    <row r="10" spans="1:6" x14ac:dyDescent="0.2">
      <c r="A10" s="2">
        <v>0</v>
      </c>
      <c r="B10" s="6">
        <v>46118</v>
      </c>
      <c r="C10" s="2" t="s">
        <v>27</v>
      </c>
      <c r="D10" s="2">
        <v>6</v>
      </c>
      <c r="E10" s="7">
        <v>6</v>
      </c>
    </row>
    <row r="11" spans="1:6" x14ac:dyDescent="0.2">
      <c r="A11" s="2">
        <v>1</v>
      </c>
      <c r="B11" s="6">
        <v>46119</v>
      </c>
      <c r="C11" s="2" t="s">
        <v>28</v>
      </c>
      <c r="D11" s="2">
        <v>6</v>
      </c>
      <c r="E11" s="8">
        <v>6</v>
      </c>
    </row>
    <row r="12" spans="1:6" x14ac:dyDescent="0.2">
      <c r="A12" s="2">
        <v>2</v>
      </c>
      <c r="B12" s="6">
        <v>46120</v>
      </c>
      <c r="C12" s="2" t="s">
        <v>29</v>
      </c>
      <c r="D12" s="2">
        <v>5</v>
      </c>
      <c r="E12" s="8">
        <v>6</v>
      </c>
    </row>
    <row r="13" spans="1:6" x14ac:dyDescent="0.2">
      <c r="A13" s="2">
        <v>3</v>
      </c>
      <c r="B13" s="6">
        <v>46121</v>
      </c>
      <c r="C13" s="2" t="s">
        <v>30</v>
      </c>
      <c r="D13" s="2">
        <v>5</v>
      </c>
      <c r="E13" s="8">
        <v>6</v>
      </c>
    </row>
    <row r="14" spans="1:6" x14ac:dyDescent="0.2">
      <c r="A14" s="2">
        <v>4</v>
      </c>
      <c r="B14" s="6">
        <v>46122</v>
      </c>
      <c r="C14" s="2" t="s">
        <v>31</v>
      </c>
      <c r="D14" s="2">
        <v>4</v>
      </c>
      <c r="E14" s="8">
        <v>4</v>
      </c>
    </row>
    <row r="15" spans="1:6" x14ac:dyDescent="0.2">
      <c r="A15" s="9">
        <v>5</v>
      </c>
      <c r="B15" s="6">
        <v>46123</v>
      </c>
      <c r="C15" s="9" t="s">
        <v>32</v>
      </c>
      <c r="D15" s="9">
        <v>2</v>
      </c>
      <c r="E15" s="8">
        <v>2</v>
      </c>
    </row>
    <row r="16" spans="1:6" x14ac:dyDescent="0.2">
      <c r="A16" s="9">
        <v>6</v>
      </c>
      <c r="B16" s="6">
        <v>46124</v>
      </c>
      <c r="C16" s="9" t="s">
        <v>33</v>
      </c>
      <c r="D16" s="9">
        <v>0</v>
      </c>
      <c r="E16" s="8">
        <v>0</v>
      </c>
    </row>
    <row r="17" spans="1:5" x14ac:dyDescent="0.2">
      <c r="D17" s="10"/>
      <c r="E17" s="11"/>
    </row>
    <row r="18" spans="1:5" x14ac:dyDescent="0.2">
      <c r="A18" s="15"/>
      <c r="B18" s="13"/>
      <c r="C18" s="13"/>
      <c r="D18" s="13"/>
      <c r="E18" s="13"/>
    </row>
  </sheetData>
  <mergeCells count="3">
    <mergeCell ref="A1:F1"/>
    <mergeCell ref="A2:F2"/>
    <mergeCell ref="A18:E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FBB8-AEE5-2748-8642-89E2263A9820}">
  <dimension ref="A1:F18"/>
  <sheetViews>
    <sheetView workbookViewId="0">
      <selection activeCell="D17" sqref="D17:E17"/>
    </sheetView>
  </sheetViews>
  <sheetFormatPr baseColWidth="10" defaultRowHeight="15" x14ac:dyDescent="0.2"/>
  <cols>
    <col min="2" max="2" width="27.33203125" customWidth="1"/>
  </cols>
  <sheetData>
    <row r="1" spans="1:6" ht="18" x14ac:dyDescent="0.2">
      <c r="A1" s="14" t="s">
        <v>51</v>
      </c>
      <c r="B1" s="13"/>
      <c r="C1" s="13"/>
      <c r="D1" s="13"/>
      <c r="E1" s="13"/>
      <c r="F1" s="13"/>
    </row>
    <row r="2" spans="1:6" x14ac:dyDescent="0.2">
      <c r="A2" s="12" t="s">
        <v>72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ht="28" x14ac:dyDescent="0.2">
      <c r="A5" s="2"/>
      <c r="B5" s="3" t="s">
        <v>70</v>
      </c>
      <c r="C5" s="2">
        <v>8</v>
      </c>
      <c r="D5" s="2"/>
    </row>
    <row r="6" spans="1:6" ht="42" x14ac:dyDescent="0.2">
      <c r="A6" s="2"/>
      <c r="B6" s="3" t="s">
        <v>71</v>
      </c>
      <c r="C6" s="2">
        <v>6</v>
      </c>
      <c r="D6" s="2"/>
    </row>
    <row r="7" spans="1:6" x14ac:dyDescent="0.2">
      <c r="B7" s="4" t="s">
        <v>21</v>
      </c>
      <c r="C7" s="5">
        <v>14</v>
      </c>
    </row>
    <row r="9" spans="1:6" ht="28" x14ac:dyDescent="0.2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</row>
    <row r="10" spans="1:6" x14ac:dyDescent="0.2">
      <c r="A10" s="2">
        <v>0</v>
      </c>
      <c r="B10" s="6">
        <v>46125</v>
      </c>
      <c r="C10" s="2" t="s">
        <v>27</v>
      </c>
      <c r="D10" s="2">
        <v>14</v>
      </c>
      <c r="E10" s="7">
        <v>14</v>
      </c>
    </row>
    <row r="11" spans="1:6" x14ac:dyDescent="0.2">
      <c r="A11" s="2">
        <v>1</v>
      </c>
      <c r="B11" s="6">
        <v>46126</v>
      </c>
      <c r="C11" s="2" t="s">
        <v>28</v>
      </c>
      <c r="D11" s="2">
        <v>10</v>
      </c>
      <c r="E11" s="8">
        <v>12</v>
      </c>
    </row>
    <row r="12" spans="1:6" x14ac:dyDescent="0.2">
      <c r="A12" s="2">
        <v>2</v>
      </c>
      <c r="B12" s="6">
        <v>46127</v>
      </c>
      <c r="C12" s="2" t="s">
        <v>29</v>
      </c>
      <c r="D12" s="2">
        <v>8</v>
      </c>
      <c r="E12" s="8">
        <v>11</v>
      </c>
    </row>
    <row r="13" spans="1:6" x14ac:dyDescent="0.2">
      <c r="A13" s="2">
        <v>3</v>
      </c>
      <c r="B13" s="6">
        <v>46128</v>
      </c>
      <c r="C13" s="2" t="s">
        <v>30</v>
      </c>
      <c r="D13" s="2">
        <v>5</v>
      </c>
      <c r="E13" s="8">
        <v>9</v>
      </c>
    </row>
    <row r="14" spans="1:6" x14ac:dyDescent="0.2">
      <c r="A14" s="2">
        <v>4</v>
      </c>
      <c r="B14" s="6">
        <v>46129</v>
      </c>
      <c r="C14" s="2" t="s">
        <v>31</v>
      </c>
      <c r="D14" s="2">
        <v>4</v>
      </c>
      <c r="E14" s="8">
        <v>6</v>
      </c>
    </row>
    <row r="15" spans="1:6" x14ac:dyDescent="0.2">
      <c r="A15" s="9">
        <v>5</v>
      </c>
      <c r="B15" s="6">
        <v>46130</v>
      </c>
      <c r="C15" s="9" t="s">
        <v>32</v>
      </c>
      <c r="D15" s="9">
        <v>2</v>
      </c>
      <c r="E15" s="8">
        <v>4</v>
      </c>
    </row>
    <row r="16" spans="1:6" x14ac:dyDescent="0.2">
      <c r="A16" s="9">
        <v>6</v>
      </c>
      <c r="B16" s="6">
        <v>46131</v>
      </c>
      <c r="C16" s="9" t="s">
        <v>33</v>
      </c>
      <c r="D16" s="9">
        <v>0</v>
      </c>
      <c r="E16" s="8">
        <v>0</v>
      </c>
    </row>
    <row r="17" spans="1:5" x14ac:dyDescent="0.2">
      <c r="D17" s="10"/>
      <c r="E17" s="11"/>
    </row>
    <row r="18" spans="1:5" x14ac:dyDescent="0.2">
      <c r="A18" s="15"/>
      <c r="B18" s="13"/>
      <c r="C18" s="13"/>
      <c r="D18" s="13"/>
      <c r="E18" s="13"/>
    </row>
  </sheetData>
  <mergeCells count="3">
    <mergeCell ref="A1:F1"/>
    <mergeCell ref="A2:F2"/>
    <mergeCell ref="A18:E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D18" sqref="D18:E18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6" customWidth="1"/>
    <col min="4" max="4" width="12" customWidth="1"/>
    <col min="5" max="5" width="11.33203125" customWidth="1"/>
  </cols>
  <sheetData>
    <row r="1" spans="1:6" ht="18" x14ac:dyDescent="0.2">
      <c r="A1" s="14" t="s">
        <v>52</v>
      </c>
      <c r="B1" s="13"/>
      <c r="C1" s="13"/>
      <c r="D1" s="13"/>
      <c r="E1" s="13"/>
      <c r="F1" s="13"/>
    </row>
    <row r="2" spans="1:6" x14ac:dyDescent="0.2">
      <c r="A2" s="12" t="s">
        <v>76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x14ac:dyDescent="0.2">
      <c r="A5" s="2"/>
      <c r="B5" s="3" t="s">
        <v>73</v>
      </c>
      <c r="C5" s="2">
        <v>33</v>
      </c>
      <c r="D5" s="2"/>
    </row>
    <row r="6" spans="1:6" x14ac:dyDescent="0.2">
      <c r="A6" s="2"/>
      <c r="B6" s="3" t="s">
        <v>74</v>
      </c>
      <c r="C6" s="2">
        <v>4</v>
      </c>
      <c r="D6" s="2"/>
    </row>
    <row r="7" spans="1:6" ht="28" x14ac:dyDescent="0.2">
      <c r="A7" s="2"/>
      <c r="B7" s="3" t="s">
        <v>75</v>
      </c>
      <c r="C7" s="2">
        <v>4</v>
      </c>
      <c r="D7" s="2"/>
    </row>
    <row r="8" spans="1:6" x14ac:dyDescent="0.2">
      <c r="B8" s="4" t="s">
        <v>21</v>
      </c>
      <c r="C8" s="5">
        <v>41</v>
      </c>
    </row>
    <row r="10" spans="1:6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</row>
    <row r="11" spans="1:6" x14ac:dyDescent="0.2">
      <c r="A11" s="2">
        <v>0</v>
      </c>
      <c r="B11" s="6">
        <v>46132</v>
      </c>
      <c r="C11" s="2" t="s">
        <v>27</v>
      </c>
      <c r="D11" s="2">
        <v>41</v>
      </c>
      <c r="E11" s="7">
        <v>41</v>
      </c>
    </row>
    <row r="12" spans="1:6" x14ac:dyDescent="0.2">
      <c r="A12" s="2">
        <v>1</v>
      </c>
      <c r="B12" s="6">
        <v>46133</v>
      </c>
      <c r="C12" s="2" t="s">
        <v>28</v>
      </c>
      <c r="D12" s="2">
        <v>35</v>
      </c>
      <c r="E12" s="8">
        <v>41</v>
      </c>
    </row>
    <row r="13" spans="1:6" x14ac:dyDescent="0.2">
      <c r="A13" s="2">
        <v>2</v>
      </c>
      <c r="B13" s="6">
        <v>46134</v>
      </c>
      <c r="C13" s="2" t="s">
        <v>29</v>
      </c>
      <c r="D13" s="2">
        <v>30</v>
      </c>
      <c r="E13" s="8">
        <v>41</v>
      </c>
    </row>
    <row r="14" spans="1:6" x14ac:dyDescent="0.2">
      <c r="A14" s="2">
        <v>3</v>
      </c>
      <c r="B14" s="6">
        <v>46135</v>
      </c>
      <c r="C14" s="2" t="s">
        <v>30</v>
      </c>
      <c r="D14" s="2">
        <v>20</v>
      </c>
      <c r="E14" s="8">
        <v>8</v>
      </c>
    </row>
    <row r="15" spans="1:6" x14ac:dyDescent="0.2">
      <c r="A15" s="2">
        <v>4</v>
      </c>
      <c r="B15" s="6">
        <v>46136</v>
      </c>
      <c r="C15" s="2" t="s">
        <v>31</v>
      </c>
      <c r="D15" s="2">
        <v>15</v>
      </c>
      <c r="E15" s="8">
        <v>4</v>
      </c>
    </row>
    <row r="16" spans="1:6" x14ac:dyDescent="0.2">
      <c r="A16" s="9">
        <v>5</v>
      </c>
      <c r="B16" s="6">
        <v>46137</v>
      </c>
      <c r="C16" s="9" t="s">
        <v>32</v>
      </c>
      <c r="D16" s="9">
        <v>7</v>
      </c>
      <c r="E16" s="8">
        <v>4</v>
      </c>
    </row>
    <row r="17" spans="1:5" x14ac:dyDescent="0.2">
      <c r="A17" s="9">
        <v>6</v>
      </c>
      <c r="B17" s="6">
        <v>46138</v>
      </c>
      <c r="C17" s="9" t="s">
        <v>33</v>
      </c>
      <c r="D17" s="9">
        <v>0</v>
      </c>
      <c r="E17" s="8">
        <v>0</v>
      </c>
    </row>
    <row r="18" spans="1:5" x14ac:dyDescent="0.2">
      <c r="D18" s="10"/>
      <c r="E18" s="11"/>
    </row>
    <row r="19" spans="1:5" x14ac:dyDescent="0.2">
      <c r="A19" s="15"/>
      <c r="B19" s="13"/>
      <c r="C19" s="13"/>
      <c r="D19" s="13"/>
      <c r="E19" s="13"/>
    </row>
  </sheetData>
  <mergeCells count="3">
    <mergeCell ref="A2:F2"/>
    <mergeCell ref="A1:F1"/>
    <mergeCell ref="A19:E1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tabSelected="1" workbookViewId="0">
      <selection activeCell="D40" sqref="D40"/>
    </sheetView>
  </sheetViews>
  <sheetFormatPr baseColWidth="10" defaultColWidth="8.83203125" defaultRowHeight="15" x14ac:dyDescent="0.2"/>
  <cols>
    <col min="1" max="1" width="6" customWidth="1"/>
    <col min="2" max="2" width="44" customWidth="1"/>
    <col min="3" max="3" width="8.6640625" customWidth="1"/>
    <col min="4" max="4" width="12" customWidth="1"/>
    <col min="5" max="5" width="14" customWidth="1"/>
  </cols>
  <sheetData>
    <row r="1" spans="1:6" ht="18" x14ac:dyDescent="0.2">
      <c r="A1" s="14" t="s">
        <v>77</v>
      </c>
      <c r="B1" s="13"/>
      <c r="C1" s="13"/>
      <c r="D1" s="13"/>
      <c r="E1" s="13"/>
      <c r="F1" s="13"/>
    </row>
    <row r="2" spans="1:6" x14ac:dyDescent="0.2">
      <c r="A2" s="12" t="s">
        <v>84</v>
      </c>
      <c r="B2" s="13"/>
      <c r="C2" s="13"/>
      <c r="D2" s="13"/>
      <c r="E2" s="13"/>
      <c r="F2" s="13"/>
    </row>
    <row r="4" spans="1:6" x14ac:dyDescent="0.2">
      <c r="A4" s="1" t="s">
        <v>1</v>
      </c>
      <c r="B4" s="1" t="s">
        <v>2</v>
      </c>
      <c r="C4" s="1" t="s">
        <v>3</v>
      </c>
      <c r="D4" s="1"/>
    </row>
    <row r="5" spans="1:6" x14ac:dyDescent="0.2">
      <c r="A5" s="2"/>
      <c r="B5" s="18" t="s">
        <v>78</v>
      </c>
      <c r="C5" s="19">
        <v>5</v>
      </c>
      <c r="D5" s="2"/>
    </row>
    <row r="6" spans="1:6" x14ac:dyDescent="0.2">
      <c r="A6" s="2"/>
      <c r="B6" s="18" t="s">
        <v>79</v>
      </c>
      <c r="C6" s="19">
        <v>6.5</v>
      </c>
      <c r="D6" s="2"/>
    </row>
    <row r="7" spans="1:6" x14ac:dyDescent="0.2">
      <c r="A7" s="2"/>
      <c r="B7" s="18" t="s">
        <v>80</v>
      </c>
      <c r="C7" s="19">
        <v>1</v>
      </c>
      <c r="D7" s="2"/>
    </row>
    <row r="8" spans="1:6" x14ac:dyDescent="0.2">
      <c r="A8" s="17"/>
      <c r="B8" s="18" t="s">
        <v>83</v>
      </c>
      <c r="C8" s="19">
        <v>5</v>
      </c>
      <c r="D8" s="20"/>
    </row>
    <row r="9" spans="1:6" x14ac:dyDescent="0.2">
      <c r="A9" s="17"/>
      <c r="B9" s="18" t="s">
        <v>81</v>
      </c>
      <c r="C9" s="19">
        <v>11</v>
      </c>
      <c r="D9" s="20"/>
    </row>
    <row r="10" spans="1:6" x14ac:dyDescent="0.2">
      <c r="A10" s="17"/>
      <c r="B10" s="18" t="s">
        <v>53</v>
      </c>
      <c r="C10" s="19">
        <v>10</v>
      </c>
      <c r="D10" s="20"/>
    </row>
    <row r="11" spans="1:6" x14ac:dyDescent="0.2">
      <c r="A11" s="17"/>
      <c r="B11" s="18" t="s">
        <v>82</v>
      </c>
      <c r="C11" s="19">
        <v>52.5</v>
      </c>
      <c r="D11" s="20"/>
    </row>
    <row r="12" spans="1:6" x14ac:dyDescent="0.2">
      <c r="A12" s="17"/>
      <c r="B12" s="18" t="s">
        <v>54</v>
      </c>
      <c r="C12" s="19">
        <v>10</v>
      </c>
      <c r="D12" s="20"/>
    </row>
    <row r="13" spans="1:6" x14ac:dyDescent="0.2">
      <c r="B13" s="16" t="s">
        <v>21</v>
      </c>
      <c r="C13" s="21">
        <f>SUM(C5:C12)</f>
        <v>101</v>
      </c>
    </row>
    <row r="16" spans="1:6" x14ac:dyDescent="0.2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</row>
    <row r="17" spans="1:5" x14ac:dyDescent="0.2">
      <c r="A17" s="2">
        <v>0</v>
      </c>
      <c r="B17" s="6">
        <v>46139</v>
      </c>
      <c r="C17" s="2" t="s">
        <v>27</v>
      </c>
      <c r="D17" s="2">
        <v>101</v>
      </c>
      <c r="E17" s="7">
        <v>101</v>
      </c>
    </row>
    <row r="18" spans="1:5" x14ac:dyDescent="0.2">
      <c r="A18" s="2">
        <v>1</v>
      </c>
      <c r="B18" s="6">
        <v>46140</v>
      </c>
      <c r="C18" s="2" t="s">
        <v>28</v>
      </c>
      <c r="D18" s="2">
        <v>95</v>
      </c>
      <c r="E18" s="8">
        <v>89</v>
      </c>
    </row>
    <row r="19" spans="1:5" x14ac:dyDescent="0.2">
      <c r="A19" s="2">
        <v>2</v>
      </c>
      <c r="B19" s="6">
        <v>46141</v>
      </c>
      <c r="C19" s="2" t="s">
        <v>29</v>
      </c>
      <c r="D19" s="2">
        <v>89</v>
      </c>
      <c r="E19" s="8">
        <v>88</v>
      </c>
    </row>
    <row r="20" spans="1:5" x14ac:dyDescent="0.2">
      <c r="A20" s="2">
        <v>3</v>
      </c>
      <c r="B20" s="6">
        <v>46142</v>
      </c>
      <c r="C20" s="2" t="s">
        <v>30</v>
      </c>
      <c r="D20" s="2">
        <v>88</v>
      </c>
      <c r="E20" s="8">
        <v>83</v>
      </c>
    </row>
    <row r="21" spans="1:5" x14ac:dyDescent="0.2">
      <c r="A21" s="2">
        <v>4</v>
      </c>
      <c r="B21" s="6">
        <v>46143</v>
      </c>
      <c r="C21" s="2" t="s">
        <v>31</v>
      </c>
      <c r="D21" s="2">
        <v>83</v>
      </c>
      <c r="E21" s="8">
        <v>80</v>
      </c>
    </row>
    <row r="22" spans="1:5" x14ac:dyDescent="0.2">
      <c r="A22" s="9">
        <v>5</v>
      </c>
      <c r="B22" s="6">
        <v>46144</v>
      </c>
      <c r="C22" s="9" t="s">
        <v>32</v>
      </c>
      <c r="D22" s="9">
        <v>72</v>
      </c>
      <c r="E22" s="8">
        <v>74</v>
      </c>
    </row>
    <row r="23" spans="1:5" x14ac:dyDescent="0.2">
      <c r="A23" s="9">
        <v>6</v>
      </c>
      <c r="B23" s="6">
        <v>46145</v>
      </c>
      <c r="C23" s="9" t="s">
        <v>33</v>
      </c>
      <c r="D23" s="9">
        <v>62</v>
      </c>
      <c r="E23" s="8">
        <v>70</v>
      </c>
    </row>
    <row r="24" spans="1:5" x14ac:dyDescent="0.2">
      <c r="A24" s="2">
        <v>7</v>
      </c>
      <c r="B24" s="6">
        <v>46146</v>
      </c>
      <c r="C24" s="2" t="s">
        <v>27</v>
      </c>
      <c r="D24" s="2">
        <v>58</v>
      </c>
      <c r="E24" s="8">
        <v>50</v>
      </c>
    </row>
    <row r="25" spans="1:5" x14ac:dyDescent="0.2">
      <c r="A25" s="2">
        <v>8</v>
      </c>
      <c r="B25" s="6">
        <v>46147</v>
      </c>
      <c r="C25" s="2" t="s">
        <v>28</v>
      </c>
      <c r="D25" s="22">
        <v>50</v>
      </c>
      <c r="E25" s="8">
        <v>50</v>
      </c>
    </row>
    <row r="26" spans="1:5" x14ac:dyDescent="0.2">
      <c r="A26" s="2">
        <v>9</v>
      </c>
      <c r="B26" s="6">
        <v>46148</v>
      </c>
      <c r="C26" s="2" t="s">
        <v>29</v>
      </c>
      <c r="D26" s="22">
        <v>38</v>
      </c>
      <c r="E26" s="8">
        <v>50</v>
      </c>
    </row>
    <row r="27" spans="1:5" x14ac:dyDescent="0.2">
      <c r="A27" s="2">
        <v>10</v>
      </c>
      <c r="B27" s="6">
        <v>46149</v>
      </c>
      <c r="C27" s="2" t="s">
        <v>30</v>
      </c>
      <c r="D27" s="22">
        <v>24</v>
      </c>
      <c r="E27" s="8">
        <v>37</v>
      </c>
    </row>
    <row r="28" spans="1:5" x14ac:dyDescent="0.2">
      <c r="A28" s="2">
        <v>11</v>
      </c>
      <c r="B28" s="6">
        <v>46150</v>
      </c>
      <c r="C28" s="2" t="s">
        <v>31</v>
      </c>
      <c r="D28" s="22">
        <v>10</v>
      </c>
      <c r="E28" s="8">
        <v>22</v>
      </c>
    </row>
    <row r="29" spans="1:5" x14ac:dyDescent="0.2">
      <c r="A29" s="2">
        <v>12</v>
      </c>
      <c r="B29" s="6">
        <v>46151</v>
      </c>
      <c r="C29" s="2" t="s">
        <v>32</v>
      </c>
      <c r="D29" s="22">
        <v>5</v>
      </c>
      <c r="E29" s="8">
        <v>10</v>
      </c>
    </row>
    <row r="30" spans="1:5" x14ac:dyDescent="0.2">
      <c r="A30" s="9">
        <v>13</v>
      </c>
      <c r="B30" s="6">
        <v>46152</v>
      </c>
      <c r="C30" s="9" t="s">
        <v>33</v>
      </c>
      <c r="D30" s="22">
        <v>0</v>
      </c>
      <c r="E30" s="8">
        <v>0</v>
      </c>
    </row>
    <row r="31" spans="1:5" x14ac:dyDescent="0.2">
      <c r="D31" s="10"/>
      <c r="E31" s="11"/>
    </row>
  </sheetData>
  <mergeCells count="2">
    <mergeCell ref="A2:F2"/>
    <mergeCell ref="A1:F1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Спринт 1</vt:lpstr>
      <vt:lpstr>Спринт 2</vt:lpstr>
      <vt:lpstr>Спринт 3</vt:lpstr>
      <vt:lpstr>Спринт 4</vt:lpstr>
      <vt:lpstr>Спринт 5</vt:lpstr>
      <vt:lpstr>Спринт 6</vt:lpstr>
      <vt:lpstr>Спринт 7</vt:lpstr>
      <vt:lpstr>Спринт 8</vt:lpstr>
      <vt:lpstr>Спринт 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Савелий Крюков</cp:lastModifiedBy>
  <dcterms:created xsi:type="dcterms:W3CDTF">2026-03-10T09:58:30Z</dcterms:created>
  <dcterms:modified xsi:type="dcterms:W3CDTF">2026-05-12T07:30:08Z</dcterms:modified>
</cp:coreProperties>
</file>