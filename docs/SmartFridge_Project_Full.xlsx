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esktop\lovetea\8_sem\Аналитика данных\SmartFridge\docs\"/>
    </mc:Choice>
  </mc:AlternateContent>
  <xr:revisionPtr revIDLastSave="0" documentId="13_ncr:1_{B1044DCD-1329-4B8F-B3E7-738A572864FE}" xr6:coauthVersionLast="47" xr6:coauthVersionMax="47" xr10:uidLastSave="{00000000-0000-0000-0000-000000000000}"/>
  <bookViews>
    <workbookView xWindow="-108" yWindow="-108" windowWidth="23256" windowHeight="13896" tabRatio="500" firstSheet="1" activeTab="1" xr2:uid="{00000000-000D-0000-FFFF-FFFF00000000}"/>
  </bookViews>
  <sheets>
    <sheet name="PERT-анализ" sheetId="1" r:id="rId1"/>
    <sheet name="Матрица ответственности" sheetId="2" r:id="rId2"/>
    <sheet name="Матрица рисков" sheetId="3" r:id="rId3"/>
    <sheet name="Диаграмма Ганта" sheetId="4" r:id="rId4"/>
    <sheet name="Бэклог продукта" sheetId="5" r:id="rId5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3" i="3" l="1"/>
  <c r="G13" i="3" s="1"/>
  <c r="G12" i="3"/>
  <c r="F12" i="3"/>
  <c r="G11" i="3"/>
  <c r="F11" i="3"/>
  <c r="G10" i="3"/>
  <c r="F10" i="3"/>
  <c r="G9" i="3"/>
  <c r="F9" i="3"/>
  <c r="F8" i="3"/>
  <c r="G8" i="3" s="1"/>
  <c r="G7" i="3"/>
  <c r="F7" i="3"/>
  <c r="G6" i="3"/>
  <c r="F6" i="3"/>
  <c r="G5" i="3"/>
  <c r="F5" i="3"/>
  <c r="G4" i="3"/>
  <c r="F4" i="3"/>
  <c r="G3" i="3"/>
  <c r="F3" i="3"/>
  <c r="G2" i="3"/>
  <c r="F2" i="3"/>
  <c r="G35" i="1"/>
  <c r="F35" i="1"/>
  <c r="E35" i="1"/>
  <c r="J34" i="1"/>
  <c r="I34" i="1"/>
  <c r="H34" i="1"/>
  <c r="I33" i="1"/>
  <c r="J33" i="1" s="1"/>
  <c r="H33" i="1"/>
  <c r="J32" i="1"/>
  <c r="I32" i="1"/>
  <c r="H32" i="1"/>
  <c r="I31" i="1"/>
  <c r="J31" i="1" s="1"/>
  <c r="H31" i="1"/>
  <c r="J30" i="1"/>
  <c r="I30" i="1"/>
  <c r="H30" i="1"/>
  <c r="I28" i="1"/>
  <c r="J28" i="1" s="1"/>
  <c r="H28" i="1"/>
  <c r="J27" i="1"/>
  <c r="I27" i="1"/>
  <c r="H27" i="1"/>
  <c r="I26" i="1"/>
  <c r="J26" i="1" s="1"/>
  <c r="H26" i="1"/>
  <c r="J25" i="1"/>
  <c r="I25" i="1"/>
  <c r="H25" i="1"/>
  <c r="I23" i="1"/>
  <c r="J23" i="1" s="1"/>
  <c r="H23" i="1"/>
  <c r="I22" i="1"/>
  <c r="J22" i="1" s="1"/>
  <c r="H22" i="1"/>
  <c r="I21" i="1"/>
  <c r="J21" i="1" s="1"/>
  <c r="H21" i="1"/>
  <c r="I20" i="1"/>
  <c r="J20" i="1" s="1"/>
  <c r="H20" i="1"/>
  <c r="I18" i="1"/>
  <c r="J18" i="1" s="1"/>
  <c r="H18" i="1"/>
  <c r="I17" i="1"/>
  <c r="J17" i="1" s="1"/>
  <c r="H17" i="1"/>
  <c r="I16" i="1"/>
  <c r="J16" i="1" s="1"/>
  <c r="H16" i="1"/>
  <c r="I15" i="1"/>
  <c r="J15" i="1" s="1"/>
  <c r="H15" i="1"/>
  <c r="I14" i="1"/>
  <c r="J14" i="1" s="1"/>
  <c r="H14" i="1"/>
  <c r="J13" i="1"/>
  <c r="I13" i="1"/>
  <c r="H13" i="1"/>
  <c r="I11" i="1"/>
  <c r="J11" i="1" s="1"/>
  <c r="H11" i="1"/>
  <c r="J10" i="1"/>
  <c r="I10" i="1"/>
  <c r="H10" i="1"/>
  <c r="I9" i="1"/>
  <c r="J9" i="1" s="1"/>
  <c r="H9" i="1"/>
  <c r="I8" i="1"/>
  <c r="J8" i="1" s="1"/>
  <c r="H8" i="1"/>
  <c r="I6" i="1"/>
  <c r="J6" i="1" s="1"/>
  <c r="H6" i="1"/>
  <c r="J5" i="1"/>
  <c r="I5" i="1"/>
  <c r="H5" i="1"/>
  <c r="I4" i="1"/>
  <c r="J4" i="1" s="1"/>
  <c r="H4" i="1"/>
  <c r="I3" i="1"/>
  <c r="J3" i="1" s="1"/>
  <c r="H3" i="1"/>
  <c r="H35" i="1" s="1"/>
  <c r="I35" i="1" l="1"/>
  <c r="J35" i="1"/>
</calcChain>
</file>

<file path=xl/sharedStrings.xml><?xml version="1.0" encoding="utf-8"?>
<sst xmlns="http://schemas.openxmlformats.org/spreadsheetml/2006/main" count="623" uniqueCount="285">
  <si>
    <t>№ ИСР</t>
  </si>
  <si>
    <t>Обозначение</t>
  </si>
  <si>
    <t>Предшественник</t>
  </si>
  <si>
    <t>Описание работ</t>
  </si>
  <si>
    <t>S (оптим.)</t>
  </si>
  <si>
    <t>M (наиб. вер.)</t>
  </si>
  <si>
    <t>B (пессим.)</t>
  </si>
  <si>
    <t>Te (ожид.)</t>
  </si>
  <si>
    <t>σ (отклон.)</t>
  </si>
  <si>
    <t>σ² (дисперсия)</t>
  </si>
  <si>
    <t>1.</t>
  </si>
  <si>
    <t>RESEARCH</t>
  </si>
  <si>
    <t>—</t>
  </si>
  <si>
    <t>Исследование и анализ</t>
  </si>
  <si>
    <t>1.1</t>
  </si>
  <si>
    <t>ANALYS_MKT</t>
  </si>
  <si>
    <t>Анализ рынка и конкурентов</t>
  </si>
  <si>
    <t>1.2</t>
  </si>
  <si>
    <t>USER_REQ</t>
  </si>
  <si>
    <t>Исследование потребностей ЦА</t>
  </si>
  <si>
    <t>1.3</t>
  </si>
  <si>
    <t>TECH_STK</t>
  </si>
  <si>
    <t>Анализ технологий (датчики, AI, фреймворки)</t>
  </si>
  <si>
    <t>1.4</t>
  </si>
  <si>
    <t>TZ_FINAL</t>
  </si>
  <si>
    <t>1.2, 1.3</t>
  </si>
  <si>
    <t>Формирование ТЗ</t>
  </si>
  <si>
    <t>2.</t>
  </si>
  <si>
    <t>DESIGN</t>
  </si>
  <si>
    <t>Проектирование системы</t>
  </si>
  <si>
    <t>2.1</t>
  </si>
  <si>
    <t>ARCH_STR</t>
  </si>
  <si>
    <t>Архитектура системы и API</t>
  </si>
  <si>
    <t>2.2</t>
  </si>
  <si>
    <t>UI_UX</t>
  </si>
  <si>
    <t>UX/UI дизайн интерфейса</t>
  </si>
  <si>
    <t>2.3</t>
  </si>
  <si>
    <t>DB_DATA</t>
  </si>
  <si>
    <t>Проектирование БД продуктов</t>
  </si>
  <si>
    <t>2.4</t>
  </si>
  <si>
    <t>AI_MODEL_D</t>
  </si>
  <si>
    <t>Проектирование AI-моделей</t>
  </si>
  <si>
    <t>3.</t>
  </si>
  <si>
    <t>DEV</t>
  </si>
  <si>
    <t>2.x</t>
  </si>
  <si>
    <t>Разработка ПО</t>
  </si>
  <si>
    <t>3.1</t>
  </si>
  <si>
    <t>CV_MODULE</t>
  </si>
  <si>
    <t>Распознавание продуктов (CV)</t>
  </si>
  <si>
    <t>3.2</t>
  </si>
  <si>
    <t>RECIPE_AI</t>
  </si>
  <si>
    <t>AI-рекомендации рецептов</t>
  </si>
  <si>
    <t>3.3</t>
  </si>
  <si>
    <t>TRACKING</t>
  </si>
  <si>
    <t>Трекинг сроков годности</t>
  </si>
  <si>
    <t>3.4</t>
  </si>
  <si>
    <t>SHOP_LIST</t>
  </si>
  <si>
    <t>2.2, 2.3</t>
  </si>
  <si>
    <t>Генерация списка покупок</t>
  </si>
  <si>
    <t>3.5</t>
  </si>
  <si>
    <t>FAV_PROD</t>
  </si>
  <si>
    <t>3.1, 3.3</t>
  </si>
  <si>
    <t>Модуль «любимые продукты»</t>
  </si>
  <si>
    <t>3.6</t>
  </si>
  <si>
    <t>VOICE_NLP</t>
  </si>
  <si>
    <t>Голосовой ассистент</t>
  </si>
  <si>
    <t>4.</t>
  </si>
  <si>
    <t>HARDWARE</t>
  </si>
  <si>
    <t>Разработка оборудования</t>
  </si>
  <si>
    <t>4.1</t>
  </si>
  <si>
    <t>SENSORS</t>
  </si>
  <si>
    <t>Выбор датчиков и камер</t>
  </si>
  <si>
    <t>4.2</t>
  </si>
  <si>
    <t>HW_PROTO</t>
  </si>
  <si>
    <t>Проект модуля-приставки</t>
  </si>
  <si>
    <t>4.3</t>
  </si>
  <si>
    <t>HW_INTEG</t>
  </si>
  <si>
    <t>Интеграция с холодильником</t>
  </si>
  <si>
    <t>4.4</t>
  </si>
  <si>
    <t>PROTO_TEST</t>
  </si>
  <si>
    <t>Прототипирование и отладка</t>
  </si>
  <si>
    <t>5.</t>
  </si>
  <si>
    <t>TESTING</t>
  </si>
  <si>
    <t>3.x, 4.x</t>
  </si>
  <si>
    <t>Тестирование и QA</t>
  </si>
  <si>
    <t>5.1</t>
  </si>
  <si>
    <t>UNIT_AI</t>
  </si>
  <si>
    <t>3.1, 3.2</t>
  </si>
  <si>
    <t>Юнит-тесты AI-моделей</t>
  </si>
  <si>
    <t>5.2</t>
  </si>
  <si>
    <t>INTEGR_T</t>
  </si>
  <si>
    <t>Интеграционное тестирование</t>
  </si>
  <si>
    <t>5.3</t>
  </si>
  <si>
    <t>BETA_USER</t>
  </si>
  <si>
    <t>Бета-тест с пользователями</t>
  </si>
  <si>
    <t>5.4</t>
  </si>
  <si>
    <t>LOAD_T</t>
  </si>
  <si>
    <t>Нагрузочное тестирование</t>
  </si>
  <si>
    <t>6.</t>
  </si>
  <si>
    <t>LAUNCH</t>
  </si>
  <si>
    <t>5.x</t>
  </si>
  <si>
    <t>Внедрение и запуск</t>
  </si>
  <si>
    <t>6.1</t>
  </si>
  <si>
    <t>MARKETING</t>
  </si>
  <si>
    <t>Маркетинговая кампания</t>
  </si>
  <si>
    <t>6.2</t>
  </si>
  <si>
    <t>PARTNERS</t>
  </si>
  <si>
    <t>Партнёрства с ритейлерами</t>
  </si>
  <si>
    <t>6.3</t>
  </si>
  <si>
    <t>MVP_PILOT</t>
  </si>
  <si>
    <t>6.1, 6.2</t>
  </si>
  <si>
    <t>Пилотный запуск (MVP)</t>
  </si>
  <si>
    <t>6.4</t>
  </si>
  <si>
    <t>FEEDBACK</t>
  </si>
  <si>
    <t>Сбор обратной связи</t>
  </si>
  <si>
    <t>6.5</t>
  </si>
  <si>
    <t>SCALE_UP</t>
  </si>
  <si>
    <t>Масштабирование</t>
  </si>
  <si>
    <t>ИТОГО проекта</t>
  </si>
  <si>
    <t>Наименование работ</t>
  </si>
  <si>
    <t>Крюков С.
(РП)</t>
  </si>
  <si>
    <t>Люлюшкина А.
(Аналитик)</t>
  </si>
  <si>
    <t>Комаров И.
(Разработчик)</t>
  </si>
  <si>
    <t>Спасова К.
(Дизайнер)</t>
  </si>
  <si>
    <t>Инвестор</t>
  </si>
  <si>
    <t>Спонсор</t>
  </si>
  <si>
    <t>К</t>
  </si>
  <si>
    <t>О</t>
  </si>
  <si>
    <t>И</t>
  </si>
  <si>
    <t>Анализ технологий (датчики, AI)</t>
  </si>
  <si>
    <t>У</t>
  </si>
  <si>
    <t>Архитектура системы</t>
  </si>
  <si>
    <t>Распознавание продуктов</t>
  </si>
  <si>
    <t>Прототипирование</t>
  </si>
  <si>
    <t>Легенда:</t>
  </si>
  <si>
    <t>№</t>
  </si>
  <si>
    <t>Описание риска</t>
  </si>
  <si>
    <t>Категория</t>
  </si>
  <si>
    <t>Вероятность
(1-5)</t>
  </si>
  <si>
    <t>Воздействие
(1-5)</t>
  </si>
  <si>
    <t>Оценка
(В×В)</t>
  </si>
  <si>
    <t>Уровень</t>
  </si>
  <si>
    <t>Стратегия реагирования</t>
  </si>
  <si>
    <t>Ответственный</t>
  </si>
  <si>
    <t>R1</t>
  </si>
  <si>
    <t>Низкая точность распознавания продуктов камерой</t>
  </si>
  <si>
    <t>Технический</t>
  </si>
  <si>
    <t>Снижение: сбор датасета &gt;10к изображений, аугментация, fallback на штрих-код</t>
  </si>
  <si>
    <t>Комаров И.</t>
  </si>
  <si>
    <t>R2</t>
  </si>
  <si>
    <t>Срыв сроков разработки AI-моделей</t>
  </si>
  <si>
    <t>Управление</t>
  </si>
  <si>
    <t>Снижение: MVP с упрощённой моделью; поэтапная разработка</t>
  </si>
  <si>
    <t>Крюков С.</t>
  </si>
  <si>
    <t>R3</t>
  </si>
  <si>
    <t>Потеря члена команды (выбытие)</t>
  </si>
  <si>
    <t>Организационный</t>
  </si>
  <si>
    <t>Принятие: кросс-функциональное обучение, документация</t>
  </si>
  <si>
    <t>R4</t>
  </si>
  <si>
    <t>Проблемы с интеграцией датчиков/камер</t>
  </si>
  <si>
    <t>Снижение: прототипирование на ранней стадии, резервные компоненты</t>
  </si>
  <si>
    <t>R5</t>
  </si>
  <si>
    <t>Недостаток данных для обучения AI</t>
  </si>
  <si>
    <t>Снижение: использование open-source датасетов, синтетические данные</t>
  </si>
  <si>
    <t>R6</t>
  </si>
  <si>
    <t>Сопротивление пользователей (сложный UX)</t>
  </si>
  <si>
    <t>Пользовательский</t>
  </si>
  <si>
    <t>Снижение: UX-тестирование каждые 2 недели, A/B тесты</t>
  </si>
  <si>
    <t>Спасова К.</t>
  </si>
  <si>
    <t>R7</t>
  </si>
  <si>
    <t>Отказ API поставщика продуктов/штрих-кодов</t>
  </si>
  <si>
    <t>Внешний</t>
  </si>
  <si>
    <t>Избежание: собственная локальная БД продуктов как backup</t>
  </si>
  <si>
    <t>R8</t>
  </si>
  <si>
    <t>Нехватка бюджета на серверы/облако</t>
  </si>
  <si>
    <t>Финансовый</t>
  </si>
  <si>
    <t>Снижение: бесплатные тарифы (AWS Free Tier), оптимизация</t>
  </si>
  <si>
    <t>R9</t>
  </si>
  <si>
    <t>Утечка персональных данных пользователей</t>
  </si>
  <si>
    <t>Безопасность</t>
  </si>
  <si>
    <t>Снижение: шифрование, GDPR-compliance, аудит безопасности</t>
  </si>
  <si>
    <t>Люлюшкина А.</t>
  </si>
  <si>
    <t>R10</t>
  </si>
  <si>
    <t>Конкурент выпускает аналогичный продукт</t>
  </si>
  <si>
    <t>Рыночный</t>
  </si>
  <si>
    <t>Принятие: фокус на уникальных фичах (AI-рецепты, голос)</t>
  </si>
  <si>
    <t>R11</t>
  </si>
  <si>
    <t>Низкая производительность системы при нагрузке</t>
  </si>
  <si>
    <t>Снижение: нагрузочное тестирование, масштабируемая архитектура</t>
  </si>
  <si>
    <t>R12</t>
  </si>
  <si>
    <t>Несовместимость ПО с разными моделями холодильников</t>
  </si>
  <si>
    <t>Снижение: модульная архитектура, адаптеры для разных моделей</t>
  </si>
  <si>
    <t>Матрица Вероятность × Воздействие</t>
  </si>
  <si>
    <t>В=5</t>
  </si>
  <si>
    <t>В=4</t>
  </si>
  <si>
    <t>В=3</t>
  </si>
  <si>
    <t>В=2</t>
  </si>
  <si>
    <t>В=1</t>
  </si>
  <si>
    <t>Задача</t>
  </si>
  <si>
    <t>Нач. (нед.)</t>
  </si>
  <si>
    <t>Длит. (нед.)</t>
  </si>
  <si>
    <t>Н1</t>
  </si>
  <si>
    <t>Н2</t>
  </si>
  <si>
    <t>Н3</t>
  </si>
  <si>
    <t>Н4</t>
  </si>
  <si>
    <t>Н5</t>
  </si>
  <si>
    <t>Н6</t>
  </si>
  <si>
    <t>Н7</t>
  </si>
  <si>
    <t>Н8</t>
  </si>
  <si>
    <t>Н9</t>
  </si>
  <si>
    <t>Н10</t>
  </si>
  <si>
    <t>Н11</t>
  </si>
  <si>
    <t>Н12</t>
  </si>
  <si>
    <t>Н13</t>
  </si>
  <si>
    <t>Н14</t>
  </si>
  <si>
    <t>Н15</t>
  </si>
  <si>
    <t>Н16</t>
  </si>
  <si>
    <t>Н17</t>
  </si>
  <si>
    <t>Н18</t>
  </si>
  <si>
    <t>Н19</t>
  </si>
  <si>
    <t>Н20</t>
  </si>
  <si>
    <t>Н21</t>
  </si>
  <si>
    <t>Н22</t>
  </si>
  <si>
    <t>Н23</t>
  </si>
  <si>
    <t>Н24</t>
  </si>
  <si>
    <t>Н25</t>
  </si>
  <si>
    <t>Н26</t>
  </si>
  <si>
    <t>Н27</t>
  </si>
  <si>
    <t>Н28</t>
  </si>
  <si>
    <t>Н29</t>
  </si>
  <si>
    <t>Н30</t>
  </si>
  <si>
    <t>Н31</t>
  </si>
  <si>
    <t>Н32</t>
  </si>
  <si>
    <t>Н33</t>
  </si>
  <si>
    <t>Н34</t>
  </si>
  <si>
    <t>Анализ технологий</t>
  </si>
  <si>
    <t>UX/UI дизайн</t>
  </si>
  <si>
    <t>Проектирование БД</t>
  </si>
  <si>
    <t>Приоритет</t>
  </si>
  <si>
    <t>Feature (фича)</t>
  </si>
  <si>
    <t>Описание</t>
  </si>
  <si>
    <t>Оценка (дни)</t>
  </si>
  <si>
    <t>Спринт</t>
  </si>
  <si>
    <t>Статус</t>
  </si>
  <si>
    <t>MoSCoW</t>
  </si>
  <si>
    <t>Камера + штрих-код + OCR дат</t>
  </si>
  <si>
    <t>S1-S2</t>
  </si>
  <si>
    <t>To Do</t>
  </si>
  <si>
    <t>Must</t>
  </si>
  <si>
    <t>Уведомления, приоритет «съешь скорее»</t>
  </si>
  <si>
    <t>Авто-список + синхронизация</t>
  </si>
  <si>
    <t>S2-S3</t>
  </si>
  <si>
    <t>UX/UI дизайн приложения</t>
  </si>
  <si>
    <t>Прототипы экранов, Figma</t>
  </si>
  <si>
    <t>S1</t>
  </si>
  <si>
    <t>API, микросервисы, схема развёртывания</t>
  </si>
  <si>
    <t>Подбор рецептов по остаткам, КБЖУ</t>
  </si>
  <si>
    <t>Should</t>
  </si>
  <si>
    <t>Схема данных, связи, миграции</t>
  </si>
  <si>
    <t>Пайплайн нейросетей, выбор моделей</t>
  </si>
  <si>
    <t>Обучение на привычках, профили</t>
  </si>
  <si>
    <t>S3</t>
  </si>
  <si>
    <t>Сравнение, закупка компонентов</t>
  </si>
  <si>
    <t>Корпус, компоновка, PCB</t>
  </si>
  <si>
    <t>S2</t>
  </si>
  <si>
    <t>NLP, интеграция Алиса/Siri</t>
  </si>
  <si>
    <t>S3-S4</t>
  </si>
  <si>
    <t>Could</t>
  </si>
  <si>
    <t>Точность ≥85%, покрытие</t>
  </si>
  <si>
    <t>Связка БД-AI-UI</t>
  </si>
  <si>
    <t>S4</t>
  </si>
  <si>
    <t>20-30 человек, сбор фидбека</t>
  </si>
  <si>
    <t>Установка, тестирование датчиков</t>
  </si>
  <si>
    <t>Лендинг, соцсети, ASO</t>
  </si>
  <si>
    <t>Ограниченный релиз, 50-100 users</t>
  </si>
  <si>
    <t>S5</t>
  </si>
  <si>
    <t>Договоры, интеграция каталогов</t>
  </si>
  <si>
    <t>S4-S5</t>
  </si>
  <si>
    <t>Опросы, аналитика, итерация</t>
  </si>
  <si>
    <t>Расширение инфраструктуры</t>
  </si>
  <si>
    <t>S6</t>
  </si>
  <si>
    <t>Участие в реализации работы проекта</t>
  </si>
  <si>
    <t>Проведение консультаций по реализации работ проекта</t>
  </si>
  <si>
    <t>Получение информации о результатах работы проекта</t>
  </si>
  <si>
    <t>Ответственный за проведение и результат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</si>
</sst>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0"/>
      <name val="Arial"/>
      <charset val="1"/>
    </font>
    <font>
      <b/>
      <sz val="13"/>
      <name val="Arial"/>
      <charset val="1"/>
    </font>
  </fonts>
  <fills count="2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6E4F0"/>
        <bgColor rgb="FFD6E8FC"/>
      </patternFill>
    </fill>
    <fill>
      <patternFill patternType="solid">
        <fgColor rgb="FFE2D9F3"/>
        <bgColor rgb="FFD6E4F0"/>
      </patternFill>
    </fill>
    <fill>
      <patternFill patternType="solid">
        <fgColor rgb="FFD6E8FC"/>
        <bgColor rgb="FFD6E4F0"/>
      </patternFill>
    </fill>
    <fill>
      <patternFill patternType="solid">
        <fgColor rgb="FFF8D7DA"/>
        <bgColor rgb="FFFCE4D6"/>
      </patternFill>
    </fill>
    <fill>
      <patternFill patternType="solid">
        <fgColor rgb="FFFFF3CD"/>
        <bgColor rgb="FFFCE4D6"/>
      </patternFill>
    </fill>
    <fill>
      <patternFill patternType="solid">
        <fgColor rgb="FFD1E7DD"/>
        <bgColor rgb="FFD6E4F0"/>
      </patternFill>
    </fill>
    <fill>
      <patternFill patternType="solid">
        <fgColor rgb="FFFCE4D6"/>
        <bgColor rgb="FFF8D7DA"/>
      </patternFill>
    </fill>
    <fill>
      <patternFill patternType="solid">
        <fgColor rgb="FFC6EFCE"/>
        <bgColor rgb="FFD1E7DD"/>
      </patternFill>
    </fill>
    <fill>
      <patternFill patternType="solid">
        <fgColor rgb="FFE2EFDA"/>
        <bgColor rgb="FFD1E7DD"/>
      </patternFill>
    </fill>
    <fill>
      <patternFill patternType="solid">
        <fgColor rgb="FFBDD7EE"/>
        <bgColor rgb="FFD0D0D0"/>
      </patternFill>
    </fill>
    <fill>
      <patternFill patternType="solid">
        <fgColor rgb="FF92D050"/>
        <bgColor rgb="FF95E1AD"/>
      </patternFill>
    </fill>
    <fill>
      <patternFill patternType="solid">
        <fgColor rgb="FFFFC000"/>
        <bgColor rgb="FFFFFF00"/>
      </patternFill>
    </fill>
    <fill>
      <patternFill patternType="solid">
        <fgColor rgb="FFFF6666"/>
        <bgColor rgb="FFFF6600"/>
      </patternFill>
    </fill>
    <fill>
      <patternFill patternType="solid">
        <fgColor rgb="FFFFFF00"/>
        <bgColor rgb="FFFFC000"/>
      </patternFill>
    </fill>
    <fill>
      <patternFill patternType="solid">
        <fgColor rgb="FFA2D2FF"/>
        <bgColor rgb="FF90C8FF"/>
      </patternFill>
    </fill>
    <fill>
      <patternFill patternType="solid">
        <fgColor rgb="FFD0BFFF"/>
        <bgColor rgb="FFD0D0D0"/>
      </patternFill>
    </fill>
    <fill>
      <patternFill patternType="solid">
        <fgColor rgb="FF90C8FF"/>
        <bgColor rgb="FFA2D2FF"/>
      </patternFill>
    </fill>
    <fill>
      <patternFill patternType="solid">
        <fgColor rgb="FFFFA3A3"/>
        <bgColor rgb="FFF8D7DA"/>
      </patternFill>
    </fill>
    <fill>
      <patternFill patternType="solid">
        <fgColor rgb="FFFFE5A0"/>
        <bgColor rgb="FFFCE4D6"/>
      </patternFill>
    </fill>
    <fill>
      <patternFill patternType="solid">
        <fgColor rgb="FF95E1AD"/>
        <bgColor rgb="FFA2D2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2" fontId="3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2" fontId="3" fillId="5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2" fontId="3" fillId="6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2" fontId="3" fillId="7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2" fontId="3" fillId="8" borderId="1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10" borderId="1" xfId="0" applyFill="1" applyBorder="1" applyAlignment="1">
      <alignment horizontal="center" vertical="center" wrapText="1"/>
    </xf>
    <xf numFmtId="0" fontId="3" fillId="0" borderId="0" xfId="0" applyFont="1"/>
    <xf numFmtId="0" fontId="0" fillId="12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0" fillId="13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7" borderId="2" xfId="0" applyFill="1" applyBorder="1"/>
    <xf numFmtId="0" fontId="0" fillId="0" borderId="2" xfId="0" applyBorder="1"/>
    <xf numFmtId="0" fontId="0" fillId="18" borderId="2" xfId="0" applyFill="1" applyBorder="1"/>
    <xf numFmtId="0" fontId="0" fillId="19" borderId="2" xfId="0" applyFill="1" applyBorder="1"/>
    <xf numFmtId="0" fontId="0" fillId="20" borderId="2" xfId="0" applyFill="1" applyBorder="1"/>
    <xf numFmtId="0" fontId="0" fillId="21" borderId="2" xfId="0" applyFill="1" applyBorder="1"/>
    <xf numFmtId="0" fontId="0" fillId="22" borderId="2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D0D0"/>
      <rgbColor rgb="FFD1E7DD"/>
      <rgbColor rgb="FFA2D2FF"/>
      <rgbColor rgb="FF993366"/>
      <rgbColor rgb="FFFFF3CD"/>
      <rgbColor rgb="FFD6E8FC"/>
      <rgbColor rgb="FF660066"/>
      <rgbColor rgb="FFFF6666"/>
      <rgbColor rgb="FF0066CC"/>
      <rgbColor rgb="FFD0BFFF"/>
      <rgbColor rgb="FF000080"/>
      <rgbColor rgb="FFFF00FF"/>
      <rgbColor rgb="FFF8D7DA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CE4D6"/>
      <rgbColor rgb="FF90C8FF"/>
      <rgbColor rgb="FFFFA3A3"/>
      <rgbColor rgb="FFBDD7EE"/>
      <rgbColor rgb="FFFFE5A0"/>
      <rgbColor rgb="FF3366FF"/>
      <rgbColor rgb="FF95E1AD"/>
      <rgbColor rgb="FF92D050"/>
      <rgbColor rgb="FFFFC000"/>
      <rgbColor rgb="FFD6E4F0"/>
      <rgbColor rgb="FFFF6600"/>
      <rgbColor rgb="FF666699"/>
      <rgbColor rgb="FFE2D9F3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3" width="16" customWidth="1"/>
    <col min="4" max="4" width="42" customWidth="1"/>
    <col min="5" max="10" width="14" customWidth="1"/>
  </cols>
  <sheetData>
    <row r="1" spans="1:10" ht="27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 t="s">
        <v>10</v>
      </c>
      <c r="B2" s="3" t="s">
        <v>11</v>
      </c>
      <c r="C2" s="3" t="s">
        <v>12</v>
      </c>
      <c r="D2" s="4" t="s">
        <v>13</v>
      </c>
      <c r="E2" s="3"/>
      <c r="F2" s="3"/>
      <c r="G2" s="3"/>
      <c r="H2" s="3"/>
      <c r="I2" s="3"/>
      <c r="J2" s="3"/>
    </row>
    <row r="3" spans="1:10" x14ac:dyDescent="0.3">
      <c r="A3" s="5" t="s">
        <v>14</v>
      </c>
      <c r="B3" s="5" t="s">
        <v>15</v>
      </c>
      <c r="C3" s="5" t="s">
        <v>12</v>
      </c>
      <c r="D3" s="6" t="s">
        <v>16</v>
      </c>
      <c r="E3" s="5">
        <v>2</v>
      </c>
      <c r="F3" s="5">
        <v>3</v>
      </c>
      <c r="G3" s="5">
        <v>5</v>
      </c>
      <c r="H3" s="7">
        <f>(E3+4*F3+G3)/6</f>
        <v>3.1666666666666665</v>
      </c>
      <c r="I3" s="7">
        <f>(G3-E3)/6</f>
        <v>0.5</v>
      </c>
      <c r="J3" s="7">
        <f>I3^2</f>
        <v>0.25</v>
      </c>
    </row>
    <row r="4" spans="1:10" x14ac:dyDescent="0.3">
      <c r="A4" s="5" t="s">
        <v>17</v>
      </c>
      <c r="B4" s="5" t="s">
        <v>18</v>
      </c>
      <c r="C4" s="5" t="s">
        <v>14</v>
      </c>
      <c r="D4" s="6" t="s">
        <v>19</v>
      </c>
      <c r="E4" s="5">
        <v>2</v>
      </c>
      <c r="F4" s="5">
        <v>3</v>
      </c>
      <c r="G4" s="5">
        <v>5</v>
      </c>
      <c r="H4" s="7">
        <f>(E4+4*F4+G4)/6</f>
        <v>3.1666666666666665</v>
      </c>
      <c r="I4" s="7">
        <f>(G4-E4)/6</f>
        <v>0.5</v>
      </c>
      <c r="J4" s="7">
        <f>I4^2</f>
        <v>0.25</v>
      </c>
    </row>
    <row r="5" spans="1:10" x14ac:dyDescent="0.3">
      <c r="A5" s="5" t="s">
        <v>20</v>
      </c>
      <c r="B5" s="5" t="s">
        <v>21</v>
      </c>
      <c r="C5" s="5" t="s">
        <v>14</v>
      </c>
      <c r="D5" s="6" t="s">
        <v>22</v>
      </c>
      <c r="E5" s="5">
        <v>2</v>
      </c>
      <c r="F5" s="5">
        <v>4</v>
      </c>
      <c r="G5" s="5">
        <v>6</v>
      </c>
      <c r="H5" s="7">
        <f>(E5+4*F5+G5)/6</f>
        <v>4</v>
      </c>
      <c r="I5" s="7">
        <f>(G5-E5)/6</f>
        <v>0.66666666666666663</v>
      </c>
      <c r="J5" s="7">
        <f>I5^2</f>
        <v>0.44444444444444442</v>
      </c>
    </row>
    <row r="6" spans="1:10" x14ac:dyDescent="0.3">
      <c r="A6" s="5" t="s">
        <v>23</v>
      </c>
      <c r="B6" s="5" t="s">
        <v>24</v>
      </c>
      <c r="C6" s="5" t="s">
        <v>25</v>
      </c>
      <c r="D6" s="6" t="s">
        <v>26</v>
      </c>
      <c r="E6" s="5">
        <v>3</v>
      </c>
      <c r="F6" s="5">
        <v>4</v>
      </c>
      <c r="G6" s="5">
        <v>6</v>
      </c>
      <c r="H6" s="7">
        <f>(E6+4*F6+G6)/6</f>
        <v>4.166666666666667</v>
      </c>
      <c r="I6" s="7">
        <f>(G6-E6)/6</f>
        <v>0.5</v>
      </c>
      <c r="J6" s="7">
        <f>I6^2</f>
        <v>0.25</v>
      </c>
    </row>
    <row r="7" spans="1:10" x14ac:dyDescent="0.3">
      <c r="A7" s="8" t="s">
        <v>27</v>
      </c>
      <c r="B7" s="8" t="s">
        <v>28</v>
      </c>
      <c r="C7" s="8" t="s">
        <v>23</v>
      </c>
      <c r="D7" s="9" t="s">
        <v>29</v>
      </c>
      <c r="E7" s="8"/>
      <c r="F7" s="8"/>
      <c r="G7" s="8"/>
      <c r="H7" s="8"/>
      <c r="I7" s="8"/>
      <c r="J7" s="8"/>
    </row>
    <row r="8" spans="1:10" x14ac:dyDescent="0.3">
      <c r="A8" s="10" t="s">
        <v>30</v>
      </c>
      <c r="B8" s="10" t="s">
        <v>31</v>
      </c>
      <c r="C8" s="10" t="s">
        <v>23</v>
      </c>
      <c r="D8" s="11" t="s">
        <v>32</v>
      </c>
      <c r="E8" s="10">
        <v>3</v>
      </c>
      <c r="F8" s="10">
        <v>5</v>
      </c>
      <c r="G8" s="10">
        <v>8</v>
      </c>
      <c r="H8" s="12">
        <f>(E8+4*F8+G8)/6</f>
        <v>5.166666666666667</v>
      </c>
      <c r="I8" s="12">
        <f>(G8-E8)/6</f>
        <v>0.83333333333333337</v>
      </c>
      <c r="J8" s="12">
        <f>I8^2</f>
        <v>0.69444444444444453</v>
      </c>
    </row>
    <row r="9" spans="1:10" x14ac:dyDescent="0.3">
      <c r="A9" s="10" t="s">
        <v>33</v>
      </c>
      <c r="B9" s="10" t="s">
        <v>34</v>
      </c>
      <c r="C9" s="10" t="s">
        <v>23</v>
      </c>
      <c r="D9" s="11" t="s">
        <v>35</v>
      </c>
      <c r="E9" s="10">
        <v>4</v>
      </c>
      <c r="F9" s="10">
        <v>6</v>
      </c>
      <c r="G9" s="10">
        <v>10</v>
      </c>
      <c r="H9" s="12">
        <f>(E9+4*F9+G9)/6</f>
        <v>6.333333333333333</v>
      </c>
      <c r="I9" s="12">
        <f>(G9-E9)/6</f>
        <v>1</v>
      </c>
      <c r="J9" s="12">
        <f>I9^2</f>
        <v>1</v>
      </c>
    </row>
    <row r="10" spans="1:10" x14ac:dyDescent="0.3">
      <c r="A10" s="10" t="s">
        <v>36</v>
      </c>
      <c r="B10" s="10" t="s">
        <v>37</v>
      </c>
      <c r="C10" s="10" t="s">
        <v>30</v>
      </c>
      <c r="D10" s="11" t="s">
        <v>38</v>
      </c>
      <c r="E10" s="10">
        <v>2</v>
      </c>
      <c r="F10" s="10">
        <v>3</v>
      </c>
      <c r="G10" s="10">
        <v>5</v>
      </c>
      <c r="H10" s="12">
        <f>(E10+4*F10+G10)/6</f>
        <v>3.1666666666666665</v>
      </c>
      <c r="I10" s="12">
        <f>(G10-E10)/6</f>
        <v>0.5</v>
      </c>
      <c r="J10" s="12">
        <f>I10^2</f>
        <v>0.25</v>
      </c>
    </row>
    <row r="11" spans="1:10" x14ac:dyDescent="0.3">
      <c r="A11" s="10" t="s">
        <v>39</v>
      </c>
      <c r="B11" s="10" t="s">
        <v>40</v>
      </c>
      <c r="C11" s="10" t="s">
        <v>30</v>
      </c>
      <c r="D11" s="11" t="s">
        <v>41</v>
      </c>
      <c r="E11" s="10">
        <v>3</v>
      </c>
      <c r="F11" s="10">
        <v>4</v>
      </c>
      <c r="G11" s="10">
        <v>6</v>
      </c>
      <c r="H11" s="12">
        <f>(E11+4*F11+G11)/6</f>
        <v>4.166666666666667</v>
      </c>
      <c r="I11" s="12">
        <f>(G11-E11)/6</f>
        <v>0.5</v>
      </c>
      <c r="J11" s="12">
        <f>I11^2</f>
        <v>0.25</v>
      </c>
    </row>
    <row r="12" spans="1:10" x14ac:dyDescent="0.3">
      <c r="A12" s="13" t="s">
        <v>42</v>
      </c>
      <c r="B12" s="13" t="s">
        <v>43</v>
      </c>
      <c r="C12" s="13" t="s">
        <v>44</v>
      </c>
      <c r="D12" s="14" t="s">
        <v>45</v>
      </c>
      <c r="E12" s="13"/>
      <c r="F12" s="13"/>
      <c r="G12" s="13"/>
      <c r="H12" s="13"/>
      <c r="I12" s="13"/>
      <c r="J12" s="13"/>
    </row>
    <row r="13" spans="1:10" x14ac:dyDescent="0.3">
      <c r="A13" s="15" t="s">
        <v>46</v>
      </c>
      <c r="B13" s="15" t="s">
        <v>47</v>
      </c>
      <c r="C13" s="15" t="s">
        <v>39</v>
      </c>
      <c r="D13" s="16" t="s">
        <v>48</v>
      </c>
      <c r="E13" s="15">
        <v>14</v>
      </c>
      <c r="F13" s="15">
        <v>22</v>
      </c>
      <c r="G13" s="15">
        <v>35</v>
      </c>
      <c r="H13" s="17">
        <f t="shared" ref="H13:H18" si="0">(E13+4*F13+G13)/6</f>
        <v>22.833333333333332</v>
      </c>
      <c r="I13" s="17">
        <f t="shared" ref="I13:I18" si="1">(G13-E13)/6</f>
        <v>3.5</v>
      </c>
      <c r="J13" s="17">
        <f t="shared" ref="J13:J18" si="2">I13^2</f>
        <v>12.25</v>
      </c>
    </row>
    <row r="14" spans="1:10" x14ac:dyDescent="0.3">
      <c r="A14" s="15" t="s">
        <v>49</v>
      </c>
      <c r="B14" s="15" t="s">
        <v>50</v>
      </c>
      <c r="C14" s="15" t="s">
        <v>39</v>
      </c>
      <c r="D14" s="16" t="s">
        <v>51</v>
      </c>
      <c r="E14" s="15">
        <v>10</v>
      </c>
      <c r="F14" s="15">
        <v>16</v>
      </c>
      <c r="G14" s="15">
        <v>25</v>
      </c>
      <c r="H14" s="17">
        <f t="shared" si="0"/>
        <v>16.5</v>
      </c>
      <c r="I14" s="17">
        <f t="shared" si="1"/>
        <v>2.5</v>
      </c>
      <c r="J14" s="17">
        <f t="shared" si="2"/>
        <v>6.25</v>
      </c>
    </row>
    <row r="15" spans="1:10" x14ac:dyDescent="0.3">
      <c r="A15" s="15" t="s">
        <v>52</v>
      </c>
      <c r="B15" s="15" t="s">
        <v>53</v>
      </c>
      <c r="C15" s="15" t="s">
        <v>36</v>
      </c>
      <c r="D15" s="16" t="s">
        <v>54</v>
      </c>
      <c r="E15" s="15">
        <v>7</v>
      </c>
      <c r="F15" s="15">
        <v>12</v>
      </c>
      <c r="G15" s="15">
        <v>19</v>
      </c>
      <c r="H15" s="17">
        <f t="shared" si="0"/>
        <v>12.333333333333334</v>
      </c>
      <c r="I15" s="17">
        <f t="shared" si="1"/>
        <v>2</v>
      </c>
      <c r="J15" s="17">
        <f t="shared" si="2"/>
        <v>4</v>
      </c>
    </row>
    <row r="16" spans="1:10" x14ac:dyDescent="0.3">
      <c r="A16" s="15" t="s">
        <v>55</v>
      </c>
      <c r="B16" s="15" t="s">
        <v>56</v>
      </c>
      <c r="C16" s="15" t="s">
        <v>57</v>
      </c>
      <c r="D16" s="16" t="s">
        <v>58</v>
      </c>
      <c r="E16" s="15">
        <v>8</v>
      </c>
      <c r="F16" s="15">
        <v>13</v>
      </c>
      <c r="G16" s="15">
        <v>22</v>
      </c>
      <c r="H16" s="17">
        <f t="shared" si="0"/>
        <v>13.666666666666666</v>
      </c>
      <c r="I16" s="17">
        <f t="shared" si="1"/>
        <v>2.3333333333333335</v>
      </c>
      <c r="J16" s="17">
        <f t="shared" si="2"/>
        <v>5.4444444444444455</v>
      </c>
    </row>
    <row r="17" spans="1:10" x14ac:dyDescent="0.3">
      <c r="A17" s="15" t="s">
        <v>59</v>
      </c>
      <c r="B17" s="15" t="s">
        <v>60</v>
      </c>
      <c r="C17" s="15" t="s">
        <v>61</v>
      </c>
      <c r="D17" s="16" t="s">
        <v>62</v>
      </c>
      <c r="E17" s="15">
        <v>5</v>
      </c>
      <c r="F17" s="15">
        <v>8</v>
      </c>
      <c r="G17" s="15">
        <v>13</v>
      </c>
      <c r="H17" s="17">
        <f t="shared" si="0"/>
        <v>8.3333333333333339</v>
      </c>
      <c r="I17" s="17">
        <f t="shared" si="1"/>
        <v>1.3333333333333333</v>
      </c>
      <c r="J17" s="17">
        <f t="shared" si="2"/>
        <v>1.7777777777777777</v>
      </c>
    </row>
    <row r="18" spans="1:10" x14ac:dyDescent="0.3">
      <c r="A18" s="15" t="s">
        <v>63</v>
      </c>
      <c r="B18" s="15" t="s">
        <v>64</v>
      </c>
      <c r="C18" s="15" t="s">
        <v>39</v>
      </c>
      <c r="D18" s="16" t="s">
        <v>65</v>
      </c>
      <c r="E18" s="15">
        <v>12</v>
      </c>
      <c r="F18" s="15">
        <v>19</v>
      </c>
      <c r="G18" s="15">
        <v>30</v>
      </c>
      <c r="H18" s="17">
        <f t="shared" si="0"/>
        <v>19.666666666666668</v>
      </c>
      <c r="I18" s="17">
        <f t="shared" si="1"/>
        <v>3</v>
      </c>
      <c r="J18" s="17">
        <f t="shared" si="2"/>
        <v>9</v>
      </c>
    </row>
    <row r="19" spans="1:10" x14ac:dyDescent="0.3">
      <c r="A19" s="18" t="s">
        <v>66</v>
      </c>
      <c r="B19" s="18" t="s">
        <v>67</v>
      </c>
      <c r="C19" s="18" t="s">
        <v>44</v>
      </c>
      <c r="D19" s="19" t="s">
        <v>68</v>
      </c>
      <c r="E19" s="18"/>
      <c r="F19" s="18"/>
      <c r="G19" s="18"/>
      <c r="H19" s="18"/>
      <c r="I19" s="18"/>
      <c r="J19" s="18"/>
    </row>
    <row r="20" spans="1:10" x14ac:dyDescent="0.3">
      <c r="A20" s="20" t="s">
        <v>69</v>
      </c>
      <c r="B20" s="20" t="s">
        <v>70</v>
      </c>
      <c r="C20" s="20" t="s">
        <v>30</v>
      </c>
      <c r="D20" s="21" t="s">
        <v>71</v>
      </c>
      <c r="E20" s="20">
        <v>3</v>
      </c>
      <c r="F20" s="20">
        <v>5</v>
      </c>
      <c r="G20" s="20">
        <v>8</v>
      </c>
      <c r="H20" s="22">
        <f>(E20+4*F20+G20)/6</f>
        <v>5.166666666666667</v>
      </c>
      <c r="I20" s="22">
        <f>(G20-E20)/6</f>
        <v>0.83333333333333337</v>
      </c>
      <c r="J20" s="22">
        <f>I20^2</f>
        <v>0.69444444444444453</v>
      </c>
    </row>
    <row r="21" spans="1:10" x14ac:dyDescent="0.3">
      <c r="A21" s="20" t="s">
        <v>72</v>
      </c>
      <c r="B21" s="20" t="s">
        <v>73</v>
      </c>
      <c r="C21" s="20" t="s">
        <v>69</v>
      </c>
      <c r="D21" s="21" t="s">
        <v>74</v>
      </c>
      <c r="E21" s="20">
        <v>5</v>
      </c>
      <c r="F21" s="20">
        <v>8</v>
      </c>
      <c r="G21" s="20">
        <v>14</v>
      </c>
      <c r="H21" s="22">
        <f>(E21+4*F21+G21)/6</f>
        <v>8.5</v>
      </c>
      <c r="I21" s="22">
        <f>(G21-E21)/6</f>
        <v>1.5</v>
      </c>
      <c r="J21" s="22">
        <f>I21^2</f>
        <v>2.25</v>
      </c>
    </row>
    <row r="22" spans="1:10" x14ac:dyDescent="0.3">
      <c r="A22" s="20" t="s">
        <v>75</v>
      </c>
      <c r="B22" s="20" t="s">
        <v>76</v>
      </c>
      <c r="C22" s="20" t="s">
        <v>72</v>
      </c>
      <c r="D22" s="21" t="s">
        <v>77</v>
      </c>
      <c r="E22" s="20">
        <v>4</v>
      </c>
      <c r="F22" s="20">
        <v>7</v>
      </c>
      <c r="G22" s="20">
        <v>12</v>
      </c>
      <c r="H22" s="22">
        <f>(E22+4*F22+G22)/6</f>
        <v>7.333333333333333</v>
      </c>
      <c r="I22" s="22">
        <f>(G22-E22)/6</f>
        <v>1.3333333333333333</v>
      </c>
      <c r="J22" s="22">
        <f>I22^2</f>
        <v>1.7777777777777777</v>
      </c>
    </row>
    <row r="23" spans="1:10" x14ac:dyDescent="0.3">
      <c r="A23" s="20" t="s">
        <v>78</v>
      </c>
      <c r="B23" s="20" t="s">
        <v>79</v>
      </c>
      <c r="C23" s="20" t="s">
        <v>75</v>
      </c>
      <c r="D23" s="21" t="s">
        <v>80</v>
      </c>
      <c r="E23" s="20">
        <v>3</v>
      </c>
      <c r="F23" s="20">
        <v>5</v>
      </c>
      <c r="G23" s="20">
        <v>8</v>
      </c>
      <c r="H23" s="22">
        <f>(E23+4*F23+G23)/6</f>
        <v>5.166666666666667</v>
      </c>
      <c r="I23" s="22">
        <f>(G23-E23)/6</f>
        <v>0.83333333333333337</v>
      </c>
      <c r="J23" s="22">
        <f>I23^2</f>
        <v>0.69444444444444453</v>
      </c>
    </row>
    <row r="24" spans="1:10" x14ac:dyDescent="0.3">
      <c r="A24" s="23" t="s">
        <v>81</v>
      </c>
      <c r="B24" s="23" t="s">
        <v>82</v>
      </c>
      <c r="C24" s="23" t="s">
        <v>83</v>
      </c>
      <c r="D24" s="24" t="s">
        <v>84</v>
      </c>
      <c r="E24" s="23"/>
      <c r="F24" s="23"/>
      <c r="G24" s="23"/>
      <c r="H24" s="23"/>
      <c r="I24" s="23"/>
      <c r="J24" s="23"/>
    </row>
    <row r="25" spans="1:10" x14ac:dyDescent="0.3">
      <c r="A25" s="25" t="s">
        <v>85</v>
      </c>
      <c r="B25" s="25" t="s">
        <v>86</v>
      </c>
      <c r="C25" s="25" t="s">
        <v>87</v>
      </c>
      <c r="D25" s="26" t="s">
        <v>88</v>
      </c>
      <c r="E25" s="25">
        <v>4</v>
      </c>
      <c r="F25" s="25">
        <v>6</v>
      </c>
      <c r="G25" s="25">
        <v>9</v>
      </c>
      <c r="H25" s="27">
        <f>(E25+4*F25+G25)/6</f>
        <v>6.166666666666667</v>
      </c>
      <c r="I25" s="27">
        <f>(G25-E25)/6</f>
        <v>0.83333333333333337</v>
      </c>
      <c r="J25" s="27">
        <f>I25^2</f>
        <v>0.69444444444444453</v>
      </c>
    </row>
    <row r="26" spans="1:10" x14ac:dyDescent="0.3">
      <c r="A26" s="25" t="s">
        <v>89</v>
      </c>
      <c r="B26" s="25" t="s">
        <v>90</v>
      </c>
      <c r="C26" s="25" t="s">
        <v>85</v>
      </c>
      <c r="D26" s="26" t="s">
        <v>91</v>
      </c>
      <c r="E26" s="25">
        <v>3</v>
      </c>
      <c r="F26" s="25">
        <v>5</v>
      </c>
      <c r="G26" s="25">
        <v>8</v>
      </c>
      <c r="H26" s="27">
        <f>(E26+4*F26+G26)/6</f>
        <v>5.166666666666667</v>
      </c>
      <c r="I26" s="27">
        <f>(G26-E26)/6</f>
        <v>0.83333333333333337</v>
      </c>
      <c r="J26" s="27">
        <f>I26^2</f>
        <v>0.69444444444444453</v>
      </c>
    </row>
    <row r="27" spans="1:10" x14ac:dyDescent="0.3">
      <c r="A27" s="25" t="s">
        <v>92</v>
      </c>
      <c r="B27" s="25" t="s">
        <v>93</v>
      </c>
      <c r="C27" s="25" t="s">
        <v>89</v>
      </c>
      <c r="D27" s="26" t="s">
        <v>94</v>
      </c>
      <c r="E27" s="25">
        <v>5</v>
      </c>
      <c r="F27" s="25">
        <v>7</v>
      </c>
      <c r="G27" s="25">
        <v>10</v>
      </c>
      <c r="H27" s="27">
        <f>(E27+4*F27+G27)/6</f>
        <v>7.166666666666667</v>
      </c>
      <c r="I27" s="27">
        <f>(G27-E27)/6</f>
        <v>0.83333333333333337</v>
      </c>
      <c r="J27" s="27">
        <f>I27^2</f>
        <v>0.69444444444444453</v>
      </c>
    </row>
    <row r="28" spans="1:10" x14ac:dyDescent="0.3">
      <c r="A28" s="25" t="s">
        <v>95</v>
      </c>
      <c r="B28" s="25" t="s">
        <v>96</v>
      </c>
      <c r="C28" s="25" t="s">
        <v>89</v>
      </c>
      <c r="D28" s="26" t="s">
        <v>97</v>
      </c>
      <c r="E28" s="25">
        <v>2</v>
      </c>
      <c r="F28" s="25">
        <v>3</v>
      </c>
      <c r="G28" s="25">
        <v>5</v>
      </c>
      <c r="H28" s="27">
        <f>(E28+4*F28+G28)/6</f>
        <v>3.1666666666666665</v>
      </c>
      <c r="I28" s="27">
        <f>(G28-E28)/6</f>
        <v>0.5</v>
      </c>
      <c r="J28" s="27">
        <f>I28^2</f>
        <v>0.25</v>
      </c>
    </row>
    <row r="29" spans="1:10" x14ac:dyDescent="0.3">
      <c r="A29" s="28" t="s">
        <v>98</v>
      </c>
      <c r="B29" s="28" t="s">
        <v>99</v>
      </c>
      <c r="C29" s="28" t="s">
        <v>100</v>
      </c>
      <c r="D29" s="29" t="s">
        <v>101</v>
      </c>
      <c r="E29" s="28"/>
      <c r="F29" s="28"/>
      <c r="G29" s="28"/>
      <c r="H29" s="28"/>
      <c r="I29" s="28"/>
      <c r="J29" s="28"/>
    </row>
    <row r="30" spans="1:10" x14ac:dyDescent="0.3">
      <c r="A30" s="30" t="s">
        <v>102</v>
      </c>
      <c r="B30" s="30" t="s">
        <v>103</v>
      </c>
      <c r="C30" s="30" t="s">
        <v>92</v>
      </c>
      <c r="D30" s="31" t="s">
        <v>104</v>
      </c>
      <c r="E30" s="30">
        <v>5</v>
      </c>
      <c r="F30" s="30">
        <v>8</v>
      </c>
      <c r="G30" s="30">
        <v>14</v>
      </c>
      <c r="H30" s="32">
        <f>(E30+4*F30+G30)/6</f>
        <v>8.5</v>
      </c>
      <c r="I30" s="32">
        <f>(G30-E30)/6</f>
        <v>1.5</v>
      </c>
      <c r="J30" s="32">
        <f>I30^2</f>
        <v>2.25</v>
      </c>
    </row>
    <row r="31" spans="1:10" x14ac:dyDescent="0.3">
      <c r="A31" s="30" t="s">
        <v>105</v>
      </c>
      <c r="B31" s="30" t="s">
        <v>106</v>
      </c>
      <c r="C31" s="30" t="s">
        <v>92</v>
      </c>
      <c r="D31" s="31" t="s">
        <v>107</v>
      </c>
      <c r="E31" s="30">
        <v>4</v>
      </c>
      <c r="F31" s="30">
        <v>7</v>
      </c>
      <c r="G31" s="30">
        <v>12</v>
      </c>
      <c r="H31" s="32">
        <f>(E31+4*F31+G31)/6</f>
        <v>7.333333333333333</v>
      </c>
      <c r="I31" s="32">
        <f>(G31-E31)/6</f>
        <v>1.3333333333333333</v>
      </c>
      <c r="J31" s="32">
        <f>I31^2</f>
        <v>1.7777777777777777</v>
      </c>
    </row>
    <row r="32" spans="1:10" x14ac:dyDescent="0.3">
      <c r="A32" s="30" t="s">
        <v>108</v>
      </c>
      <c r="B32" s="30" t="s">
        <v>109</v>
      </c>
      <c r="C32" s="30" t="s">
        <v>110</v>
      </c>
      <c r="D32" s="31" t="s">
        <v>111</v>
      </c>
      <c r="E32" s="30">
        <v>3</v>
      </c>
      <c r="F32" s="30">
        <v>5</v>
      </c>
      <c r="G32" s="30">
        <v>8</v>
      </c>
      <c r="H32" s="32">
        <f>(E32+4*F32+G32)/6</f>
        <v>5.166666666666667</v>
      </c>
      <c r="I32" s="32">
        <f>(G32-E32)/6</f>
        <v>0.83333333333333337</v>
      </c>
      <c r="J32" s="32">
        <f>I32^2</f>
        <v>0.69444444444444453</v>
      </c>
    </row>
    <row r="33" spans="1:10" x14ac:dyDescent="0.3">
      <c r="A33" s="30" t="s">
        <v>112</v>
      </c>
      <c r="B33" s="30" t="s">
        <v>113</v>
      </c>
      <c r="C33" s="30" t="s">
        <v>108</v>
      </c>
      <c r="D33" s="31" t="s">
        <v>114</v>
      </c>
      <c r="E33" s="30">
        <v>2</v>
      </c>
      <c r="F33" s="30">
        <v>4</v>
      </c>
      <c r="G33" s="30">
        <v>7</v>
      </c>
      <c r="H33" s="32">
        <f>(E33+4*F33+G33)/6</f>
        <v>4.166666666666667</v>
      </c>
      <c r="I33" s="32">
        <f>(G33-E33)/6</f>
        <v>0.83333333333333337</v>
      </c>
      <c r="J33" s="32">
        <f>I33^2</f>
        <v>0.69444444444444453</v>
      </c>
    </row>
    <row r="34" spans="1:10" x14ac:dyDescent="0.3">
      <c r="A34" s="30" t="s">
        <v>115</v>
      </c>
      <c r="B34" s="30" t="s">
        <v>116</v>
      </c>
      <c r="C34" s="30" t="s">
        <v>112</v>
      </c>
      <c r="D34" s="31" t="s">
        <v>117</v>
      </c>
      <c r="E34" s="30">
        <v>5</v>
      </c>
      <c r="F34" s="30">
        <v>10</v>
      </c>
      <c r="G34" s="30">
        <v>18</v>
      </c>
      <c r="H34" s="32">
        <f>(E34+4*F34+G34)/6</f>
        <v>10.5</v>
      </c>
      <c r="I34" s="32">
        <f>(G34-E34)/6</f>
        <v>2.1666666666666665</v>
      </c>
      <c r="J34" s="32">
        <f>I34^2</f>
        <v>4.6944444444444438</v>
      </c>
    </row>
    <row r="35" spans="1:10" ht="41.4" x14ac:dyDescent="0.3">
      <c r="A35" s="2" t="s">
        <v>118</v>
      </c>
      <c r="B35" s="2"/>
      <c r="C35" s="2"/>
      <c r="D35" s="2"/>
      <c r="E35" s="2">
        <f>E3+E4+E5+E6+E8+E9+E10+E11+E13+E14+E15+E16+E17+E18+E20+E21+E22+E23+E25+E26+E27+E28+E30+E31+E32+E33+E34</f>
        <v>125</v>
      </c>
      <c r="F35" s="2">
        <f>F3+F4+F5+F6+F8+F9+F10+F11+F13+F14+F15+F16+F17+F18+F20+F21+F22+F23+F25+F26+F27+F28+F30+F31+F32+F33+F34</f>
        <v>202</v>
      </c>
      <c r="G35" s="2">
        <f>G3+G4+G5+G6+G8+G9+G10+G11+G13+G14+G15+G16+G17+G18+G20+G21+G22+G23+G25+G26+G27+G28+G30+G31+G32+G33+G34</f>
        <v>328</v>
      </c>
      <c r="H35" s="33">
        <f>H3+H4+H5+H6+H8+H9+H10+H11+H13+H14+H15+H16+H17+H18+H20+H21+H22+H23+H25+H26+H27+H28+H30+H31+H32+H33+H34</f>
        <v>210.16666666666663</v>
      </c>
      <c r="I35" s="33">
        <f>SQRT(J3+J4+J5+J6+J8+J9+J10+J11+J13+J14+J15+J16+J17+J18+J20+J21+J22+J23+J25+J26+J27+J28+J30+J31+J32+J33+J34)</f>
        <v>7.7441734369926278</v>
      </c>
      <c r="J35" s="33">
        <f>J3+J4+J5+J6+J8+J9+J10+J11+J13+J14+J15+J16+J17+J18+J20+J21+J22+J23+J25+J26+J27+J28+J30+J31+J32+J33+J34</f>
        <v>59.972222222222214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tabSelected="1" zoomScaleNormal="100" workbookViewId="0">
      <pane xSplit="2" ySplit="1" topLeftCell="C20" activePane="bottomRight" state="frozen"/>
      <selection pane="topRight" activeCell="C1" sqref="C1"/>
      <selection pane="bottomLeft" activeCell="A2" sqref="A2"/>
      <selection pane="bottomRight" activeCell="D35" sqref="D35"/>
    </sheetView>
  </sheetViews>
  <sheetFormatPr defaultColWidth="8.6640625" defaultRowHeight="14.4" x14ac:dyDescent="0.3"/>
  <cols>
    <col min="1" max="1" width="8" customWidth="1"/>
    <col min="2" max="2" width="38" customWidth="1"/>
    <col min="3" max="8" width="18" customWidth="1"/>
  </cols>
  <sheetData>
    <row r="1" spans="1:8" ht="27.6" x14ac:dyDescent="0.3">
      <c r="A1" s="2" t="s">
        <v>0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124</v>
      </c>
      <c r="H1" s="2" t="s">
        <v>125</v>
      </c>
    </row>
    <row r="2" spans="1:8" x14ac:dyDescent="0.3">
      <c r="A2" s="34" t="s">
        <v>14</v>
      </c>
      <c r="B2" s="35" t="s">
        <v>16</v>
      </c>
      <c r="C2" s="36" t="s">
        <v>126</v>
      </c>
      <c r="D2" s="37" t="s">
        <v>127</v>
      </c>
      <c r="E2" s="38" t="s">
        <v>128</v>
      </c>
      <c r="F2" s="38" t="s">
        <v>128</v>
      </c>
      <c r="G2" s="34"/>
      <c r="H2" s="34"/>
    </row>
    <row r="3" spans="1:8" x14ac:dyDescent="0.3">
      <c r="A3" s="34" t="s">
        <v>17</v>
      </c>
      <c r="B3" s="35" t="s">
        <v>19</v>
      </c>
      <c r="C3" s="36" t="s">
        <v>126</v>
      </c>
      <c r="D3" s="37" t="s">
        <v>127</v>
      </c>
      <c r="E3" s="38" t="s">
        <v>128</v>
      </c>
      <c r="F3" s="36" t="s">
        <v>126</v>
      </c>
      <c r="G3" s="34"/>
      <c r="H3" s="34"/>
    </row>
    <row r="4" spans="1:8" x14ac:dyDescent="0.3">
      <c r="A4" s="34" t="s">
        <v>20</v>
      </c>
      <c r="B4" s="35" t="s">
        <v>129</v>
      </c>
      <c r="C4" s="36" t="s">
        <v>126</v>
      </c>
      <c r="D4" s="37" t="s">
        <v>127</v>
      </c>
      <c r="E4" s="39" t="s">
        <v>130</v>
      </c>
      <c r="F4" s="38" t="s">
        <v>128</v>
      </c>
      <c r="G4" s="34"/>
      <c r="H4" s="34"/>
    </row>
    <row r="5" spans="1:8" x14ac:dyDescent="0.3">
      <c r="A5" s="34" t="s">
        <v>23</v>
      </c>
      <c r="B5" s="35" t="s">
        <v>26</v>
      </c>
      <c r="C5" s="37" t="s">
        <v>127</v>
      </c>
      <c r="D5" s="39" t="s">
        <v>130</v>
      </c>
      <c r="E5" s="39" t="s">
        <v>130</v>
      </c>
      <c r="F5" s="39" t="s">
        <v>130</v>
      </c>
      <c r="G5" s="34"/>
      <c r="H5" s="34"/>
    </row>
    <row r="6" spans="1:8" x14ac:dyDescent="0.3">
      <c r="A6" s="34" t="s">
        <v>30</v>
      </c>
      <c r="B6" s="35" t="s">
        <v>131</v>
      </c>
      <c r="C6" s="39" t="s">
        <v>130</v>
      </c>
      <c r="D6" s="38" t="s">
        <v>128</v>
      </c>
      <c r="E6" s="37" t="s">
        <v>127</v>
      </c>
      <c r="F6" s="38" t="s">
        <v>128</v>
      </c>
      <c r="G6" s="34"/>
      <c r="H6" s="34"/>
    </row>
    <row r="7" spans="1:8" x14ac:dyDescent="0.3">
      <c r="A7" s="34" t="s">
        <v>33</v>
      </c>
      <c r="B7" s="35" t="s">
        <v>35</v>
      </c>
      <c r="C7" s="36" t="s">
        <v>126</v>
      </c>
      <c r="D7" s="39" t="s">
        <v>130</v>
      </c>
      <c r="E7" s="36" t="s">
        <v>126</v>
      </c>
      <c r="F7" s="37" t="s">
        <v>127</v>
      </c>
      <c r="G7" s="34"/>
      <c r="H7" s="34"/>
    </row>
    <row r="8" spans="1:8" x14ac:dyDescent="0.3">
      <c r="A8" s="34" t="s">
        <v>36</v>
      </c>
      <c r="B8" s="35" t="s">
        <v>38</v>
      </c>
      <c r="C8" s="38" t="s">
        <v>128</v>
      </c>
      <c r="D8" s="36" t="s">
        <v>126</v>
      </c>
      <c r="E8" s="37" t="s">
        <v>127</v>
      </c>
      <c r="F8" s="38" t="s">
        <v>128</v>
      </c>
      <c r="G8" s="34"/>
      <c r="H8" s="34"/>
    </row>
    <row r="9" spans="1:8" x14ac:dyDescent="0.3">
      <c r="A9" s="34" t="s">
        <v>39</v>
      </c>
      <c r="B9" s="35" t="s">
        <v>41</v>
      </c>
      <c r="C9" s="39" t="s">
        <v>130</v>
      </c>
      <c r="D9" s="38" t="s">
        <v>128</v>
      </c>
      <c r="E9" s="37" t="s">
        <v>127</v>
      </c>
      <c r="F9" s="38" t="s">
        <v>128</v>
      </c>
      <c r="G9" s="34"/>
      <c r="H9" s="34"/>
    </row>
    <row r="10" spans="1:8" x14ac:dyDescent="0.3">
      <c r="A10" s="34" t="s">
        <v>46</v>
      </c>
      <c r="B10" s="35" t="s">
        <v>132</v>
      </c>
      <c r="C10" s="39" t="s">
        <v>130</v>
      </c>
      <c r="D10" s="38" t="s">
        <v>128</v>
      </c>
      <c r="E10" s="37" t="s">
        <v>127</v>
      </c>
      <c r="F10" s="38" t="s">
        <v>128</v>
      </c>
      <c r="G10" s="34"/>
      <c r="H10" s="34"/>
    </row>
    <row r="11" spans="1:8" x14ac:dyDescent="0.3">
      <c r="A11" s="34" t="s">
        <v>49</v>
      </c>
      <c r="B11" s="35" t="s">
        <v>51</v>
      </c>
      <c r="C11" s="38" t="s">
        <v>128</v>
      </c>
      <c r="D11" s="39" t="s">
        <v>130</v>
      </c>
      <c r="E11" s="37" t="s">
        <v>127</v>
      </c>
      <c r="F11" s="38" t="s">
        <v>128</v>
      </c>
      <c r="G11" s="34"/>
      <c r="H11" s="34"/>
    </row>
    <row r="12" spans="1:8" x14ac:dyDescent="0.3">
      <c r="A12" s="34" t="s">
        <v>52</v>
      </c>
      <c r="B12" s="35" t="s">
        <v>54</v>
      </c>
      <c r="C12" s="39" t="s">
        <v>130</v>
      </c>
      <c r="D12" s="38" t="s">
        <v>128</v>
      </c>
      <c r="E12" s="37" t="s">
        <v>127</v>
      </c>
      <c r="F12" s="38" t="s">
        <v>128</v>
      </c>
      <c r="G12" s="34"/>
      <c r="H12" s="34"/>
    </row>
    <row r="13" spans="1:8" x14ac:dyDescent="0.3">
      <c r="A13" s="34" t="s">
        <v>55</v>
      </c>
      <c r="B13" s="35" t="s">
        <v>58</v>
      </c>
      <c r="C13" s="38" t="s">
        <v>128</v>
      </c>
      <c r="D13" s="39" t="s">
        <v>130</v>
      </c>
      <c r="E13" s="37" t="s">
        <v>127</v>
      </c>
      <c r="F13" s="38" t="s">
        <v>128</v>
      </c>
      <c r="G13" s="34"/>
      <c r="H13" s="34"/>
    </row>
    <row r="14" spans="1:8" x14ac:dyDescent="0.3">
      <c r="A14" s="34" t="s">
        <v>59</v>
      </c>
      <c r="B14" s="35" t="s">
        <v>62</v>
      </c>
      <c r="C14" s="38" t="s">
        <v>128</v>
      </c>
      <c r="D14" s="39" t="s">
        <v>130</v>
      </c>
      <c r="E14" s="37" t="s">
        <v>127</v>
      </c>
      <c r="F14" s="38" t="s">
        <v>128</v>
      </c>
      <c r="G14" s="34"/>
      <c r="H14" s="34"/>
    </row>
    <row r="15" spans="1:8" x14ac:dyDescent="0.3">
      <c r="A15" s="34" t="s">
        <v>63</v>
      </c>
      <c r="B15" s="35" t="s">
        <v>65</v>
      </c>
      <c r="C15" s="39" t="s">
        <v>130</v>
      </c>
      <c r="D15" s="38" t="s">
        <v>128</v>
      </c>
      <c r="E15" s="37" t="s">
        <v>127</v>
      </c>
      <c r="F15" s="38" t="s">
        <v>128</v>
      </c>
      <c r="G15" s="34"/>
      <c r="H15" s="34"/>
    </row>
    <row r="16" spans="1:8" x14ac:dyDescent="0.3">
      <c r="A16" s="34" t="s">
        <v>69</v>
      </c>
      <c r="B16" s="35" t="s">
        <v>71</v>
      </c>
      <c r="C16" s="37" t="s">
        <v>127</v>
      </c>
      <c r="D16" s="38" t="s">
        <v>128</v>
      </c>
      <c r="E16" s="39" t="s">
        <v>130</v>
      </c>
      <c r="F16" s="38" t="s">
        <v>128</v>
      </c>
      <c r="G16" s="34"/>
      <c r="H16" s="34"/>
    </row>
    <row r="17" spans="1:8" x14ac:dyDescent="0.3">
      <c r="A17" s="34" t="s">
        <v>72</v>
      </c>
      <c r="B17" s="35" t="s">
        <v>74</v>
      </c>
      <c r="C17" s="37" t="s">
        <v>127</v>
      </c>
      <c r="D17" s="38" t="s">
        <v>128</v>
      </c>
      <c r="E17" s="39" t="s">
        <v>130</v>
      </c>
      <c r="F17" s="36" t="s">
        <v>126</v>
      </c>
      <c r="G17" s="34"/>
      <c r="H17" s="34"/>
    </row>
    <row r="18" spans="1:8" x14ac:dyDescent="0.3">
      <c r="A18" s="34" t="s">
        <v>75</v>
      </c>
      <c r="B18" s="35" t="s">
        <v>77</v>
      </c>
      <c r="C18" s="37" t="s">
        <v>127</v>
      </c>
      <c r="D18" s="38" t="s">
        <v>128</v>
      </c>
      <c r="E18" s="39" t="s">
        <v>130</v>
      </c>
      <c r="F18" s="38" t="s">
        <v>128</v>
      </c>
      <c r="G18" s="34"/>
      <c r="H18" s="34"/>
    </row>
    <row r="19" spans="1:8" x14ac:dyDescent="0.3">
      <c r="A19" s="34" t="s">
        <v>78</v>
      </c>
      <c r="B19" s="35" t="s">
        <v>133</v>
      </c>
      <c r="C19" s="37" t="s">
        <v>127</v>
      </c>
      <c r="D19" s="39" t="s">
        <v>130</v>
      </c>
      <c r="E19" s="39" t="s">
        <v>130</v>
      </c>
      <c r="F19" s="39" t="s">
        <v>130</v>
      </c>
      <c r="G19" s="34"/>
      <c r="H19" s="34"/>
    </row>
    <row r="20" spans="1:8" x14ac:dyDescent="0.3">
      <c r="A20" s="34" t="s">
        <v>85</v>
      </c>
      <c r="B20" s="35" t="s">
        <v>88</v>
      </c>
      <c r="C20" s="38" t="s">
        <v>128</v>
      </c>
      <c r="D20" s="39" t="s">
        <v>130</v>
      </c>
      <c r="E20" s="37" t="s">
        <v>127</v>
      </c>
      <c r="F20" s="38" t="s">
        <v>128</v>
      </c>
      <c r="G20" s="34"/>
      <c r="H20" s="34"/>
    </row>
    <row r="21" spans="1:8" x14ac:dyDescent="0.3">
      <c r="A21" s="34" t="s">
        <v>89</v>
      </c>
      <c r="B21" s="35" t="s">
        <v>91</v>
      </c>
      <c r="C21" s="39" t="s">
        <v>130</v>
      </c>
      <c r="D21" s="37" t="s">
        <v>127</v>
      </c>
      <c r="E21" s="39" t="s">
        <v>130</v>
      </c>
      <c r="F21" s="38" t="s">
        <v>128</v>
      </c>
      <c r="G21" s="34"/>
      <c r="H21" s="34"/>
    </row>
    <row r="22" spans="1:8" x14ac:dyDescent="0.3">
      <c r="A22" s="34" t="s">
        <v>92</v>
      </c>
      <c r="B22" s="35" t="s">
        <v>94</v>
      </c>
      <c r="C22" s="36" t="s">
        <v>126</v>
      </c>
      <c r="D22" s="37" t="s">
        <v>127</v>
      </c>
      <c r="E22" s="39" t="s">
        <v>130</v>
      </c>
      <c r="F22" s="39" t="s">
        <v>130</v>
      </c>
      <c r="G22" s="34"/>
      <c r="H22" s="34"/>
    </row>
    <row r="23" spans="1:8" x14ac:dyDescent="0.3">
      <c r="A23" s="34" t="s">
        <v>95</v>
      </c>
      <c r="B23" s="35" t="s">
        <v>97</v>
      </c>
      <c r="C23" s="38" t="s">
        <v>128</v>
      </c>
      <c r="D23" s="39" t="s">
        <v>130</v>
      </c>
      <c r="E23" s="37" t="s">
        <v>127</v>
      </c>
      <c r="F23" s="38" t="s">
        <v>128</v>
      </c>
      <c r="G23" s="34"/>
      <c r="H23" s="34"/>
    </row>
    <row r="24" spans="1:8" x14ac:dyDescent="0.3">
      <c r="A24" s="34" t="s">
        <v>102</v>
      </c>
      <c r="B24" s="35" t="s">
        <v>104</v>
      </c>
      <c r="C24" s="37" t="s">
        <v>127</v>
      </c>
      <c r="D24" s="39" t="s">
        <v>130</v>
      </c>
      <c r="E24" s="38" t="s">
        <v>128</v>
      </c>
      <c r="F24" s="39" t="s">
        <v>130</v>
      </c>
      <c r="G24" s="34"/>
      <c r="H24" s="34"/>
    </row>
    <row r="25" spans="1:8" x14ac:dyDescent="0.3">
      <c r="A25" s="34" t="s">
        <v>105</v>
      </c>
      <c r="B25" s="35" t="s">
        <v>107</v>
      </c>
      <c r="C25" s="37" t="s">
        <v>127</v>
      </c>
      <c r="D25" s="36" t="s">
        <v>126</v>
      </c>
      <c r="E25" s="38" t="s">
        <v>128</v>
      </c>
      <c r="F25" s="38" t="s">
        <v>128</v>
      </c>
      <c r="G25" s="34"/>
      <c r="H25" s="34"/>
    </row>
    <row r="26" spans="1:8" x14ac:dyDescent="0.3">
      <c r="A26" s="34" t="s">
        <v>108</v>
      </c>
      <c r="B26" s="35" t="s">
        <v>111</v>
      </c>
      <c r="C26" s="37" t="s">
        <v>127</v>
      </c>
      <c r="D26" s="39" t="s">
        <v>130</v>
      </c>
      <c r="E26" s="39" t="s">
        <v>130</v>
      </c>
      <c r="F26" s="38" t="s">
        <v>128</v>
      </c>
      <c r="G26" s="34"/>
      <c r="H26" s="34"/>
    </row>
    <row r="27" spans="1:8" x14ac:dyDescent="0.3">
      <c r="A27" s="34" t="s">
        <v>112</v>
      </c>
      <c r="B27" s="35" t="s">
        <v>114</v>
      </c>
      <c r="C27" s="36" t="s">
        <v>126</v>
      </c>
      <c r="D27" s="37" t="s">
        <v>127</v>
      </c>
      <c r="E27" s="38" t="s">
        <v>128</v>
      </c>
      <c r="F27" s="36" t="s">
        <v>126</v>
      </c>
      <c r="G27" s="34"/>
      <c r="H27" s="34"/>
    </row>
    <row r="28" spans="1:8" x14ac:dyDescent="0.3">
      <c r="A28" s="34" t="s">
        <v>115</v>
      </c>
      <c r="B28" s="35" t="s">
        <v>117</v>
      </c>
      <c r="C28" s="37" t="s">
        <v>127</v>
      </c>
      <c r="D28" s="36" t="s">
        <v>126</v>
      </c>
      <c r="E28" s="39" t="s">
        <v>130</v>
      </c>
      <c r="F28" s="38" t="s">
        <v>128</v>
      </c>
      <c r="G28" s="34"/>
      <c r="H28" s="34"/>
    </row>
    <row r="30" spans="1:8" x14ac:dyDescent="0.3">
      <c r="A30" s="40" t="s">
        <v>134</v>
      </c>
    </row>
    <row r="31" spans="1:8" x14ac:dyDescent="0.3">
      <c r="A31" s="41" t="s">
        <v>127</v>
      </c>
      <c r="B31" s="42" t="s">
        <v>284</v>
      </c>
    </row>
    <row r="32" spans="1:8" x14ac:dyDescent="0.3">
      <c r="A32" s="43" t="s">
        <v>130</v>
      </c>
      <c r="B32" s="42" t="s">
        <v>281</v>
      </c>
    </row>
    <row r="33" spans="1:2" x14ac:dyDescent="0.3">
      <c r="A33" s="44" t="s">
        <v>126</v>
      </c>
      <c r="B33" s="42" t="s">
        <v>282</v>
      </c>
    </row>
    <row r="34" spans="1:2" x14ac:dyDescent="0.3">
      <c r="A34" s="45" t="s">
        <v>128</v>
      </c>
      <c r="B34" s="42" t="s">
        <v>283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2"/>
  <sheetViews>
    <sheetView zoomScaleNormal="100" workbookViewId="0">
      <pane ySplit="1" topLeftCell="A2" activePane="bottomLeft" state="frozen"/>
      <selection pane="bottomLeft" activeCell="D23" sqref="D23"/>
    </sheetView>
  </sheetViews>
  <sheetFormatPr defaultColWidth="8.6640625" defaultRowHeight="14.4" x14ac:dyDescent="0.3"/>
  <cols>
    <col min="1" max="1" width="6" customWidth="1"/>
    <col min="2" max="2" width="48" customWidth="1"/>
    <col min="3" max="3" width="16" customWidth="1"/>
    <col min="4" max="5" width="14" customWidth="1"/>
    <col min="6" max="6" width="12" customWidth="1"/>
    <col min="7" max="7" width="14" customWidth="1"/>
    <col min="8" max="8" width="55" customWidth="1"/>
    <col min="9" max="9" width="16" customWidth="1"/>
  </cols>
  <sheetData>
    <row r="1" spans="1:9" ht="41.4" x14ac:dyDescent="0.3">
      <c r="A1" s="2" t="s">
        <v>135</v>
      </c>
      <c r="B1" s="2" t="s">
        <v>136</v>
      </c>
      <c r="C1" s="2" t="s">
        <v>137</v>
      </c>
      <c r="D1" s="2" t="s">
        <v>138</v>
      </c>
      <c r="E1" s="2" t="s">
        <v>139</v>
      </c>
      <c r="F1" s="2" t="s">
        <v>140</v>
      </c>
      <c r="G1" s="2" t="s">
        <v>141</v>
      </c>
      <c r="H1" s="2" t="s">
        <v>142</v>
      </c>
      <c r="I1" s="2" t="s">
        <v>143</v>
      </c>
    </row>
    <row r="2" spans="1:9" ht="26.4" x14ac:dyDescent="0.3">
      <c r="A2" s="34" t="s">
        <v>144</v>
      </c>
      <c r="B2" s="35" t="s">
        <v>145</v>
      </c>
      <c r="C2" s="34" t="s">
        <v>146</v>
      </c>
      <c r="D2" s="34">
        <v>4</v>
      </c>
      <c r="E2" s="34">
        <v>5</v>
      </c>
      <c r="F2" s="34">
        <f t="shared" ref="F2:F13" si="0">D2*E2</f>
        <v>20</v>
      </c>
      <c r="G2" s="34" t="str">
        <f t="shared" ref="G2:G13" si="1">IF(F2&gt;=15,"Критический",IF(F2&gt;=10,"Высокий",IF(F2&gt;=6,"Средний","Низкий")))</f>
        <v>Критический</v>
      </c>
      <c r="H2" s="35" t="s">
        <v>147</v>
      </c>
      <c r="I2" s="34" t="s">
        <v>148</v>
      </c>
    </row>
    <row r="3" spans="1:9" ht="26.4" x14ac:dyDescent="0.3">
      <c r="A3" s="34" t="s">
        <v>149</v>
      </c>
      <c r="B3" s="35" t="s">
        <v>150</v>
      </c>
      <c r="C3" s="34" t="s">
        <v>151</v>
      </c>
      <c r="D3" s="34">
        <v>3</v>
      </c>
      <c r="E3" s="34">
        <v>4</v>
      </c>
      <c r="F3" s="34">
        <f t="shared" si="0"/>
        <v>12</v>
      </c>
      <c r="G3" s="34" t="str">
        <f t="shared" si="1"/>
        <v>Высокий</v>
      </c>
      <c r="H3" s="35" t="s">
        <v>152</v>
      </c>
      <c r="I3" s="34" t="s">
        <v>153</v>
      </c>
    </row>
    <row r="4" spans="1:9" ht="26.4" x14ac:dyDescent="0.3">
      <c r="A4" s="34" t="s">
        <v>154</v>
      </c>
      <c r="B4" s="35" t="s">
        <v>155</v>
      </c>
      <c r="C4" s="34" t="s">
        <v>156</v>
      </c>
      <c r="D4" s="34">
        <v>2</v>
      </c>
      <c r="E4" s="34">
        <v>5</v>
      </c>
      <c r="F4" s="34">
        <f t="shared" si="0"/>
        <v>10</v>
      </c>
      <c r="G4" s="34" t="str">
        <f t="shared" si="1"/>
        <v>Высокий</v>
      </c>
      <c r="H4" s="35" t="s">
        <v>157</v>
      </c>
      <c r="I4" s="34" t="s">
        <v>153</v>
      </c>
    </row>
    <row r="5" spans="1:9" ht="26.4" x14ac:dyDescent="0.3">
      <c r="A5" s="34" t="s">
        <v>158</v>
      </c>
      <c r="B5" s="35" t="s">
        <v>159</v>
      </c>
      <c r="C5" s="34" t="s">
        <v>146</v>
      </c>
      <c r="D5" s="34">
        <v>3</v>
      </c>
      <c r="E5" s="34">
        <v>4</v>
      </c>
      <c r="F5" s="34">
        <f t="shared" si="0"/>
        <v>12</v>
      </c>
      <c r="G5" s="34" t="str">
        <f t="shared" si="1"/>
        <v>Высокий</v>
      </c>
      <c r="H5" s="35" t="s">
        <v>160</v>
      </c>
      <c r="I5" s="34" t="s">
        <v>153</v>
      </c>
    </row>
    <row r="6" spans="1:9" ht="26.4" x14ac:dyDescent="0.3">
      <c r="A6" s="34" t="s">
        <v>161</v>
      </c>
      <c r="B6" s="35" t="s">
        <v>162</v>
      </c>
      <c r="C6" s="34" t="s">
        <v>146</v>
      </c>
      <c r="D6" s="34">
        <v>3</v>
      </c>
      <c r="E6" s="34">
        <v>4</v>
      </c>
      <c r="F6" s="34">
        <f t="shared" si="0"/>
        <v>12</v>
      </c>
      <c r="G6" s="34" t="str">
        <f t="shared" si="1"/>
        <v>Высокий</v>
      </c>
      <c r="H6" s="35" t="s">
        <v>163</v>
      </c>
      <c r="I6" s="34" t="s">
        <v>148</v>
      </c>
    </row>
    <row r="7" spans="1:9" ht="26.4" x14ac:dyDescent="0.3">
      <c r="A7" s="34" t="s">
        <v>164</v>
      </c>
      <c r="B7" s="35" t="s">
        <v>165</v>
      </c>
      <c r="C7" s="34" t="s">
        <v>166</v>
      </c>
      <c r="D7" s="34">
        <v>3</v>
      </c>
      <c r="E7" s="34">
        <v>3</v>
      </c>
      <c r="F7" s="34">
        <f t="shared" si="0"/>
        <v>9</v>
      </c>
      <c r="G7" s="34" t="str">
        <f t="shared" si="1"/>
        <v>Средний</v>
      </c>
      <c r="H7" s="35" t="s">
        <v>167</v>
      </c>
      <c r="I7" s="34" t="s">
        <v>168</v>
      </c>
    </row>
    <row r="8" spans="1:9" ht="26.4" x14ac:dyDescent="0.3">
      <c r="A8" s="34" t="s">
        <v>169</v>
      </c>
      <c r="B8" s="35" t="s">
        <v>170</v>
      </c>
      <c r="C8" s="34" t="s">
        <v>171</v>
      </c>
      <c r="D8" s="34">
        <v>2</v>
      </c>
      <c r="E8" s="34">
        <v>4</v>
      </c>
      <c r="F8" s="34">
        <f t="shared" si="0"/>
        <v>8</v>
      </c>
      <c r="G8" s="34" t="str">
        <f t="shared" si="1"/>
        <v>Средний</v>
      </c>
      <c r="H8" s="35" t="s">
        <v>172</v>
      </c>
      <c r="I8" s="34" t="s">
        <v>148</v>
      </c>
    </row>
    <row r="9" spans="1:9" ht="26.4" x14ac:dyDescent="0.3">
      <c r="A9" s="34" t="s">
        <v>173</v>
      </c>
      <c r="B9" s="35" t="s">
        <v>174</v>
      </c>
      <c r="C9" s="34" t="s">
        <v>175</v>
      </c>
      <c r="D9" s="34">
        <v>3</v>
      </c>
      <c r="E9" s="34">
        <v>3</v>
      </c>
      <c r="F9" s="34">
        <f t="shared" si="0"/>
        <v>9</v>
      </c>
      <c r="G9" s="34" t="str">
        <f t="shared" si="1"/>
        <v>Средний</v>
      </c>
      <c r="H9" s="35" t="s">
        <v>176</v>
      </c>
      <c r="I9" s="34" t="s">
        <v>153</v>
      </c>
    </row>
    <row r="10" spans="1:9" ht="26.4" x14ac:dyDescent="0.3">
      <c r="A10" s="34" t="s">
        <v>177</v>
      </c>
      <c r="B10" s="35" t="s">
        <v>178</v>
      </c>
      <c r="C10" s="34" t="s">
        <v>179</v>
      </c>
      <c r="D10" s="34">
        <v>2</v>
      </c>
      <c r="E10" s="34">
        <v>5</v>
      </c>
      <c r="F10" s="34">
        <f t="shared" si="0"/>
        <v>10</v>
      </c>
      <c r="G10" s="34" t="str">
        <f t="shared" si="1"/>
        <v>Высокий</v>
      </c>
      <c r="H10" s="35" t="s">
        <v>180</v>
      </c>
      <c r="I10" s="34" t="s">
        <v>181</v>
      </c>
    </row>
    <row r="11" spans="1:9" x14ac:dyDescent="0.3">
      <c r="A11" s="34" t="s">
        <v>182</v>
      </c>
      <c r="B11" s="35" t="s">
        <v>183</v>
      </c>
      <c r="C11" s="34" t="s">
        <v>184</v>
      </c>
      <c r="D11" s="34">
        <v>2</v>
      </c>
      <c r="E11" s="34">
        <v>3</v>
      </c>
      <c r="F11" s="34">
        <f t="shared" si="0"/>
        <v>6</v>
      </c>
      <c r="G11" s="34" t="str">
        <f t="shared" si="1"/>
        <v>Средний</v>
      </c>
      <c r="H11" s="35" t="s">
        <v>185</v>
      </c>
      <c r="I11" s="34" t="s">
        <v>153</v>
      </c>
    </row>
    <row r="12" spans="1:9" ht="26.4" x14ac:dyDescent="0.3">
      <c r="A12" s="34" t="s">
        <v>186</v>
      </c>
      <c r="B12" s="35" t="s">
        <v>187</v>
      </c>
      <c r="C12" s="34" t="s">
        <v>146</v>
      </c>
      <c r="D12" s="34">
        <v>3</v>
      </c>
      <c r="E12" s="34">
        <v>3</v>
      </c>
      <c r="F12" s="34">
        <f t="shared" si="0"/>
        <v>9</v>
      </c>
      <c r="G12" s="34" t="str">
        <f t="shared" si="1"/>
        <v>Средний</v>
      </c>
      <c r="H12" s="35" t="s">
        <v>188</v>
      </c>
      <c r="I12" s="34" t="s">
        <v>148</v>
      </c>
    </row>
    <row r="13" spans="1:9" ht="26.4" x14ac:dyDescent="0.3">
      <c r="A13" s="34" t="s">
        <v>189</v>
      </c>
      <c r="B13" s="35" t="s">
        <v>190</v>
      </c>
      <c r="C13" s="34" t="s">
        <v>146</v>
      </c>
      <c r="D13" s="34">
        <v>4</v>
      </c>
      <c r="E13" s="34">
        <v>3</v>
      </c>
      <c r="F13" s="34">
        <f t="shared" si="0"/>
        <v>12</v>
      </c>
      <c r="G13" s="34" t="str">
        <f t="shared" si="1"/>
        <v>Высокий</v>
      </c>
      <c r="H13" s="35" t="s">
        <v>191</v>
      </c>
      <c r="I13" s="34" t="s">
        <v>148</v>
      </c>
    </row>
    <row r="16" spans="1:9" ht="16.8" x14ac:dyDescent="0.3">
      <c r="A16" s="1" t="s">
        <v>192</v>
      </c>
      <c r="B16" s="1"/>
      <c r="C16" s="1"/>
      <c r="D16" s="1"/>
      <c r="E16" s="1"/>
      <c r="F16" s="1"/>
    </row>
    <row r="17" spans="1:6" x14ac:dyDescent="0.3">
      <c r="B17" s="46">
        <v>1</v>
      </c>
      <c r="C17" s="46">
        <v>2</v>
      </c>
      <c r="D17" s="46">
        <v>3</v>
      </c>
      <c r="E17" s="46">
        <v>4</v>
      </c>
      <c r="F17" s="46">
        <v>5</v>
      </c>
    </row>
    <row r="18" spans="1:6" x14ac:dyDescent="0.3">
      <c r="A18" s="47" t="s">
        <v>193</v>
      </c>
      <c r="B18" s="48">
        <v>5</v>
      </c>
      <c r="C18" s="49">
        <v>10</v>
      </c>
      <c r="D18" s="50">
        <v>15</v>
      </c>
      <c r="E18" s="50">
        <v>20</v>
      </c>
      <c r="F18" s="50">
        <v>25</v>
      </c>
    </row>
    <row r="19" spans="1:6" x14ac:dyDescent="0.3">
      <c r="A19" s="47" t="s">
        <v>194</v>
      </c>
      <c r="B19" s="48">
        <v>4</v>
      </c>
      <c r="C19" s="51">
        <v>8</v>
      </c>
      <c r="D19" s="49">
        <v>12</v>
      </c>
      <c r="E19" s="50">
        <v>16</v>
      </c>
      <c r="F19" s="50">
        <v>20</v>
      </c>
    </row>
    <row r="20" spans="1:6" x14ac:dyDescent="0.3">
      <c r="A20" s="47" t="s">
        <v>195</v>
      </c>
      <c r="B20" s="48">
        <v>3</v>
      </c>
      <c r="C20" s="51">
        <v>6</v>
      </c>
      <c r="D20" s="51">
        <v>9</v>
      </c>
      <c r="E20" s="49">
        <v>12</v>
      </c>
      <c r="F20" s="50">
        <v>15</v>
      </c>
    </row>
    <row r="21" spans="1:6" x14ac:dyDescent="0.3">
      <c r="A21" s="47" t="s">
        <v>196</v>
      </c>
      <c r="B21" s="48">
        <v>2</v>
      </c>
      <c r="C21" s="48">
        <v>4</v>
      </c>
      <c r="D21" s="51">
        <v>6</v>
      </c>
      <c r="E21" s="51">
        <v>8</v>
      </c>
      <c r="F21" s="49">
        <v>10</v>
      </c>
    </row>
    <row r="22" spans="1:6" x14ac:dyDescent="0.3">
      <c r="A22" s="47" t="s">
        <v>197</v>
      </c>
      <c r="B22" s="48">
        <v>1</v>
      </c>
      <c r="C22" s="48">
        <v>2</v>
      </c>
      <c r="D22" s="48">
        <v>3</v>
      </c>
      <c r="E22" s="48">
        <v>4</v>
      </c>
      <c r="F22" s="48">
        <v>5</v>
      </c>
    </row>
  </sheetData>
  <mergeCells count="1">
    <mergeCell ref="A16:F1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28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6640625" defaultRowHeight="14.4" x14ac:dyDescent="0.3"/>
  <cols>
    <col min="1" max="1" width="8" customWidth="1"/>
    <col min="2" max="2" width="38" customWidth="1"/>
    <col min="3" max="4" width="10" customWidth="1"/>
    <col min="5" max="38" width="3.44140625" customWidth="1"/>
  </cols>
  <sheetData>
    <row r="1" spans="1:38" ht="27.6" x14ac:dyDescent="0.3">
      <c r="A1" s="2" t="s">
        <v>0</v>
      </c>
      <c r="B1" s="2" t="s">
        <v>198</v>
      </c>
      <c r="C1" s="2" t="s">
        <v>199</v>
      </c>
      <c r="D1" s="2" t="s">
        <v>200</v>
      </c>
      <c r="E1" s="2" t="s">
        <v>201</v>
      </c>
      <c r="F1" s="2" t="s">
        <v>202</v>
      </c>
      <c r="G1" s="2" t="s">
        <v>203</v>
      </c>
      <c r="H1" s="2" t="s">
        <v>204</v>
      </c>
      <c r="I1" s="2" t="s">
        <v>205</v>
      </c>
      <c r="J1" s="2" t="s">
        <v>206</v>
      </c>
      <c r="K1" s="2" t="s">
        <v>207</v>
      </c>
      <c r="L1" s="2" t="s">
        <v>208</v>
      </c>
      <c r="M1" s="2" t="s">
        <v>209</v>
      </c>
      <c r="N1" s="2" t="s">
        <v>210</v>
      </c>
      <c r="O1" s="2" t="s">
        <v>211</v>
      </c>
      <c r="P1" s="2" t="s">
        <v>212</v>
      </c>
      <c r="Q1" s="2" t="s">
        <v>213</v>
      </c>
      <c r="R1" s="2" t="s">
        <v>214</v>
      </c>
      <c r="S1" s="2" t="s">
        <v>215</v>
      </c>
      <c r="T1" s="2" t="s">
        <v>216</v>
      </c>
      <c r="U1" s="2" t="s">
        <v>217</v>
      </c>
      <c r="V1" s="2" t="s">
        <v>218</v>
      </c>
      <c r="W1" s="2" t="s">
        <v>219</v>
      </c>
      <c r="X1" s="2" t="s">
        <v>220</v>
      </c>
      <c r="Y1" s="2" t="s">
        <v>221</v>
      </c>
      <c r="Z1" s="2" t="s">
        <v>222</v>
      </c>
      <c r="AA1" s="2" t="s">
        <v>223</v>
      </c>
      <c r="AB1" s="2" t="s">
        <v>224</v>
      </c>
      <c r="AC1" s="2" t="s">
        <v>225</v>
      </c>
      <c r="AD1" s="2" t="s">
        <v>226</v>
      </c>
      <c r="AE1" s="2" t="s">
        <v>227</v>
      </c>
      <c r="AF1" s="2" t="s">
        <v>228</v>
      </c>
      <c r="AG1" s="2" t="s">
        <v>229</v>
      </c>
      <c r="AH1" s="2" t="s">
        <v>230</v>
      </c>
      <c r="AI1" s="2" t="s">
        <v>231</v>
      </c>
      <c r="AJ1" s="2" t="s">
        <v>232</v>
      </c>
      <c r="AK1" s="2" t="s">
        <v>233</v>
      </c>
      <c r="AL1" s="2" t="s">
        <v>234</v>
      </c>
    </row>
    <row r="2" spans="1:38" x14ac:dyDescent="0.3">
      <c r="A2" s="34" t="s">
        <v>14</v>
      </c>
      <c r="B2" s="35" t="s">
        <v>16</v>
      </c>
      <c r="C2" s="34">
        <v>1</v>
      </c>
      <c r="D2" s="34">
        <v>3</v>
      </c>
      <c r="E2" s="52"/>
      <c r="F2" s="52"/>
      <c r="G2" s="52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</row>
    <row r="3" spans="1:38" x14ac:dyDescent="0.3">
      <c r="A3" s="34" t="s">
        <v>17</v>
      </c>
      <c r="B3" s="35" t="s">
        <v>19</v>
      </c>
      <c r="C3" s="34">
        <v>4</v>
      </c>
      <c r="D3" s="34">
        <v>3</v>
      </c>
      <c r="E3" s="53"/>
      <c r="F3" s="53"/>
      <c r="G3" s="53"/>
      <c r="H3" s="52"/>
      <c r="I3" s="52"/>
      <c r="J3" s="52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</row>
    <row r="4" spans="1:38" x14ac:dyDescent="0.3">
      <c r="A4" s="34" t="s">
        <v>20</v>
      </c>
      <c r="B4" s="35" t="s">
        <v>235</v>
      </c>
      <c r="C4" s="34">
        <v>4</v>
      </c>
      <c r="D4" s="34">
        <v>4</v>
      </c>
      <c r="E4" s="53"/>
      <c r="F4" s="53"/>
      <c r="G4" s="53"/>
      <c r="H4" s="52"/>
      <c r="I4" s="52"/>
      <c r="J4" s="52"/>
      <c r="K4" s="52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</row>
    <row r="5" spans="1:38" x14ac:dyDescent="0.3">
      <c r="A5" s="34" t="s">
        <v>23</v>
      </c>
      <c r="B5" s="35" t="s">
        <v>26</v>
      </c>
      <c r="C5" s="34">
        <v>8</v>
      </c>
      <c r="D5" s="34">
        <v>4</v>
      </c>
      <c r="E5" s="53"/>
      <c r="F5" s="53"/>
      <c r="G5" s="53"/>
      <c r="H5" s="53"/>
      <c r="I5" s="53"/>
      <c r="J5" s="53"/>
      <c r="K5" s="53"/>
      <c r="L5" s="52"/>
      <c r="M5" s="52"/>
      <c r="N5" s="52"/>
      <c r="O5" s="52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</row>
    <row r="6" spans="1:38" x14ac:dyDescent="0.3">
      <c r="A6" s="34" t="s">
        <v>30</v>
      </c>
      <c r="B6" s="35" t="s">
        <v>131</v>
      </c>
      <c r="C6" s="34">
        <v>12</v>
      </c>
      <c r="D6" s="34">
        <v>5</v>
      </c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4"/>
      <c r="Q6" s="54"/>
      <c r="R6" s="54"/>
      <c r="S6" s="54"/>
      <c r="T6" s="54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</row>
    <row r="7" spans="1:38" x14ac:dyDescent="0.3">
      <c r="A7" s="34" t="s">
        <v>33</v>
      </c>
      <c r="B7" s="35" t="s">
        <v>236</v>
      </c>
      <c r="C7" s="34">
        <v>12</v>
      </c>
      <c r="D7" s="34">
        <v>6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4"/>
      <c r="Q7" s="54"/>
      <c r="R7" s="54"/>
      <c r="S7" s="54"/>
      <c r="T7" s="54"/>
      <c r="U7" s="54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</row>
    <row r="8" spans="1:38" x14ac:dyDescent="0.3">
      <c r="A8" s="34" t="s">
        <v>36</v>
      </c>
      <c r="B8" s="35" t="s">
        <v>237</v>
      </c>
      <c r="C8" s="34">
        <v>17</v>
      </c>
      <c r="D8" s="34">
        <v>3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4"/>
      <c r="V8" s="54"/>
      <c r="W8" s="54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</row>
    <row r="9" spans="1:38" x14ac:dyDescent="0.3">
      <c r="A9" s="34" t="s">
        <v>39</v>
      </c>
      <c r="B9" s="35" t="s">
        <v>41</v>
      </c>
      <c r="C9" s="34">
        <v>17</v>
      </c>
      <c r="D9" s="34">
        <v>4</v>
      </c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4"/>
      <c r="V9" s="54"/>
      <c r="W9" s="54"/>
      <c r="X9" s="54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</row>
    <row r="10" spans="1:38" x14ac:dyDescent="0.3">
      <c r="A10" s="34" t="s">
        <v>46</v>
      </c>
      <c r="B10" s="35" t="s">
        <v>48</v>
      </c>
      <c r="C10" s="34">
        <v>21</v>
      </c>
      <c r="D10" s="34">
        <v>4</v>
      </c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5"/>
      <c r="Z10" s="55"/>
      <c r="AA10" s="55"/>
      <c r="AB10" s="55"/>
      <c r="AC10" s="53"/>
      <c r="AD10" s="53"/>
      <c r="AE10" s="53"/>
      <c r="AF10" s="53"/>
      <c r="AG10" s="53"/>
      <c r="AH10" s="53"/>
      <c r="AI10" s="53"/>
      <c r="AJ10" s="53"/>
      <c r="AK10" s="53"/>
      <c r="AL10" s="53"/>
    </row>
    <row r="11" spans="1:38" x14ac:dyDescent="0.3">
      <c r="A11" s="34" t="s">
        <v>49</v>
      </c>
      <c r="B11" s="35" t="s">
        <v>51</v>
      </c>
      <c r="C11" s="34">
        <v>21</v>
      </c>
      <c r="D11" s="34">
        <v>3</v>
      </c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5"/>
      <c r="Z11" s="55"/>
      <c r="AA11" s="55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</row>
    <row r="12" spans="1:38" x14ac:dyDescent="0.3">
      <c r="A12" s="34" t="s">
        <v>52</v>
      </c>
      <c r="B12" s="35" t="s">
        <v>54</v>
      </c>
      <c r="C12" s="34">
        <v>20</v>
      </c>
      <c r="D12" s="34">
        <v>2</v>
      </c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5"/>
      <c r="Y12" s="55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</row>
    <row r="13" spans="1:38" x14ac:dyDescent="0.3">
      <c r="A13" s="34" t="s">
        <v>55</v>
      </c>
      <c r="B13" s="35" t="s">
        <v>58</v>
      </c>
      <c r="C13" s="34">
        <v>20</v>
      </c>
      <c r="D13" s="34">
        <v>2</v>
      </c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5"/>
      <c r="Y13" s="55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</row>
    <row r="14" spans="1:38" x14ac:dyDescent="0.3">
      <c r="A14" s="34" t="s">
        <v>59</v>
      </c>
      <c r="B14" s="35" t="s">
        <v>62</v>
      </c>
      <c r="C14" s="34">
        <v>25</v>
      </c>
      <c r="D14" s="34">
        <v>1</v>
      </c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5"/>
      <c r="AD14" s="53"/>
      <c r="AE14" s="53"/>
      <c r="AF14" s="53"/>
      <c r="AG14" s="53"/>
      <c r="AH14" s="53"/>
      <c r="AI14" s="53"/>
      <c r="AJ14" s="53"/>
      <c r="AK14" s="53"/>
      <c r="AL14" s="53"/>
    </row>
    <row r="15" spans="1:38" x14ac:dyDescent="0.3">
      <c r="A15" s="34" t="s">
        <v>63</v>
      </c>
      <c r="B15" s="35" t="s">
        <v>65</v>
      </c>
      <c r="C15" s="34">
        <v>21</v>
      </c>
      <c r="D15" s="34">
        <v>3</v>
      </c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5"/>
      <c r="Z15" s="55"/>
      <c r="AA15" s="55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</row>
    <row r="16" spans="1:38" x14ac:dyDescent="0.3">
      <c r="A16" s="34" t="s">
        <v>69</v>
      </c>
      <c r="B16" s="35" t="s">
        <v>71</v>
      </c>
      <c r="C16" s="34">
        <v>17</v>
      </c>
      <c r="D16" s="34">
        <v>1</v>
      </c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6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</row>
    <row r="17" spans="1:38" x14ac:dyDescent="0.3">
      <c r="A17" s="34" t="s">
        <v>72</v>
      </c>
      <c r="B17" s="35" t="s">
        <v>74</v>
      </c>
      <c r="C17" s="34">
        <v>18</v>
      </c>
      <c r="D17" s="34">
        <v>1</v>
      </c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6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</row>
    <row r="18" spans="1:38" x14ac:dyDescent="0.3">
      <c r="A18" s="34" t="s">
        <v>75</v>
      </c>
      <c r="B18" s="35" t="s">
        <v>77</v>
      </c>
      <c r="C18" s="34">
        <v>19</v>
      </c>
      <c r="D18" s="34">
        <v>1</v>
      </c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6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</row>
    <row r="19" spans="1:38" x14ac:dyDescent="0.3">
      <c r="A19" s="34" t="s">
        <v>78</v>
      </c>
      <c r="B19" s="35" t="s">
        <v>133</v>
      </c>
      <c r="C19" s="34">
        <v>20</v>
      </c>
      <c r="D19" s="34">
        <v>1</v>
      </c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6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</row>
    <row r="20" spans="1:38" x14ac:dyDescent="0.3">
      <c r="A20" s="34" t="s">
        <v>85</v>
      </c>
      <c r="B20" s="35" t="s">
        <v>88</v>
      </c>
      <c r="C20" s="34">
        <v>26</v>
      </c>
      <c r="D20" s="34">
        <v>1</v>
      </c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7"/>
      <c r="AE20" s="53"/>
      <c r="AF20" s="53"/>
      <c r="AG20" s="53"/>
      <c r="AH20" s="53"/>
      <c r="AI20" s="53"/>
      <c r="AJ20" s="53"/>
      <c r="AK20" s="53"/>
      <c r="AL20" s="53"/>
    </row>
    <row r="21" spans="1:38" x14ac:dyDescent="0.3">
      <c r="A21" s="34" t="s">
        <v>89</v>
      </c>
      <c r="B21" s="35" t="s">
        <v>91</v>
      </c>
      <c r="C21" s="34">
        <v>27</v>
      </c>
      <c r="D21" s="34">
        <v>1</v>
      </c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7"/>
      <c r="AF21" s="53"/>
      <c r="AG21" s="53"/>
      <c r="AH21" s="53"/>
      <c r="AI21" s="53"/>
      <c r="AJ21" s="53"/>
      <c r="AK21" s="53"/>
      <c r="AL21" s="53"/>
    </row>
    <row r="22" spans="1:38" x14ac:dyDescent="0.3">
      <c r="A22" s="34" t="s">
        <v>92</v>
      </c>
      <c r="B22" s="35" t="s">
        <v>94</v>
      </c>
      <c r="C22" s="34">
        <v>28</v>
      </c>
      <c r="D22" s="34">
        <v>1</v>
      </c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7"/>
      <c r="AG22" s="53"/>
      <c r="AH22" s="53"/>
      <c r="AI22" s="53"/>
      <c r="AJ22" s="53"/>
      <c r="AK22" s="53"/>
      <c r="AL22" s="53"/>
    </row>
    <row r="23" spans="1:38" x14ac:dyDescent="0.3">
      <c r="A23" s="34" t="s">
        <v>95</v>
      </c>
      <c r="B23" s="35" t="s">
        <v>97</v>
      </c>
      <c r="C23" s="34">
        <v>28</v>
      </c>
      <c r="D23" s="34">
        <v>1</v>
      </c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7"/>
      <c r="AG23" s="53"/>
      <c r="AH23" s="53"/>
      <c r="AI23" s="53"/>
      <c r="AJ23" s="53"/>
      <c r="AK23" s="53"/>
      <c r="AL23" s="53"/>
    </row>
    <row r="24" spans="1:38" x14ac:dyDescent="0.3">
      <c r="A24" s="34" t="s">
        <v>102</v>
      </c>
      <c r="B24" s="35" t="s">
        <v>104</v>
      </c>
      <c r="C24" s="34">
        <v>29</v>
      </c>
      <c r="D24" s="34">
        <v>1</v>
      </c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8"/>
      <c r="AH24" s="53"/>
      <c r="AI24" s="53"/>
      <c r="AJ24" s="53"/>
      <c r="AK24" s="53"/>
      <c r="AL24" s="53"/>
    </row>
    <row r="25" spans="1:38" x14ac:dyDescent="0.3">
      <c r="A25" s="34" t="s">
        <v>105</v>
      </c>
      <c r="B25" s="35" t="s">
        <v>107</v>
      </c>
      <c r="C25" s="34">
        <v>29</v>
      </c>
      <c r="D25" s="34">
        <v>1</v>
      </c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8"/>
      <c r="AH25" s="53"/>
      <c r="AI25" s="53"/>
      <c r="AJ25" s="53"/>
      <c r="AK25" s="53"/>
      <c r="AL25" s="53"/>
    </row>
    <row r="26" spans="1:38" x14ac:dyDescent="0.3">
      <c r="A26" s="34" t="s">
        <v>108</v>
      </c>
      <c r="B26" s="35" t="s">
        <v>111</v>
      </c>
      <c r="C26" s="34">
        <v>30</v>
      </c>
      <c r="D26" s="34">
        <v>1</v>
      </c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8"/>
      <c r="AI26" s="53"/>
      <c r="AJ26" s="53"/>
      <c r="AK26" s="53"/>
      <c r="AL26" s="53"/>
    </row>
    <row r="27" spans="1:38" x14ac:dyDescent="0.3">
      <c r="A27" s="34" t="s">
        <v>112</v>
      </c>
      <c r="B27" s="35" t="s">
        <v>114</v>
      </c>
      <c r="C27" s="34">
        <v>31</v>
      </c>
      <c r="D27" s="34">
        <v>1</v>
      </c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8"/>
      <c r="AJ27" s="53"/>
      <c r="AK27" s="53"/>
      <c r="AL27" s="53"/>
    </row>
    <row r="28" spans="1:38" x14ac:dyDescent="0.3">
      <c r="A28" s="34" t="s">
        <v>115</v>
      </c>
      <c r="B28" s="35" t="s">
        <v>117</v>
      </c>
      <c r="C28" s="34">
        <v>32</v>
      </c>
      <c r="D28" s="34">
        <v>2</v>
      </c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8"/>
      <c r="AK28" s="58"/>
      <c r="AL28" s="5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8" customWidth="1"/>
    <col min="3" max="3" width="35" customWidth="1"/>
    <col min="4" max="4" width="45" customWidth="1"/>
    <col min="5" max="5" width="14" customWidth="1"/>
    <col min="6" max="8" width="10" customWidth="1"/>
  </cols>
  <sheetData>
    <row r="1" spans="1:8" x14ac:dyDescent="0.3">
      <c r="A1" s="2" t="s">
        <v>238</v>
      </c>
      <c r="B1" s="2" t="s">
        <v>0</v>
      </c>
      <c r="C1" s="2" t="s">
        <v>239</v>
      </c>
      <c r="D1" s="2" t="s">
        <v>240</v>
      </c>
      <c r="E1" s="2" t="s">
        <v>241</v>
      </c>
      <c r="F1" s="2" t="s">
        <v>242</v>
      </c>
      <c r="G1" s="2" t="s">
        <v>243</v>
      </c>
      <c r="H1" s="2" t="s">
        <v>244</v>
      </c>
    </row>
    <row r="2" spans="1:8" x14ac:dyDescent="0.3">
      <c r="A2" s="34">
        <v>900</v>
      </c>
      <c r="B2" s="34" t="s">
        <v>46</v>
      </c>
      <c r="C2" s="35" t="s">
        <v>48</v>
      </c>
      <c r="D2" s="35" t="s">
        <v>245</v>
      </c>
      <c r="E2" s="34">
        <v>22</v>
      </c>
      <c r="F2" s="34" t="s">
        <v>246</v>
      </c>
      <c r="G2" s="34" t="s">
        <v>247</v>
      </c>
      <c r="H2" s="37" t="s">
        <v>248</v>
      </c>
    </row>
    <row r="3" spans="1:8" x14ac:dyDescent="0.3">
      <c r="A3" s="34">
        <v>850</v>
      </c>
      <c r="B3" s="34" t="s">
        <v>52</v>
      </c>
      <c r="C3" s="35" t="s">
        <v>54</v>
      </c>
      <c r="D3" s="35" t="s">
        <v>249</v>
      </c>
      <c r="E3" s="34">
        <v>12</v>
      </c>
      <c r="F3" s="34" t="s">
        <v>246</v>
      </c>
      <c r="G3" s="34" t="s">
        <v>247</v>
      </c>
      <c r="H3" s="37" t="s">
        <v>248</v>
      </c>
    </row>
    <row r="4" spans="1:8" x14ac:dyDescent="0.3">
      <c r="A4" s="34">
        <v>800</v>
      </c>
      <c r="B4" s="34" t="s">
        <v>55</v>
      </c>
      <c r="C4" s="35" t="s">
        <v>58</v>
      </c>
      <c r="D4" s="35" t="s">
        <v>250</v>
      </c>
      <c r="E4" s="34">
        <v>13</v>
      </c>
      <c r="F4" s="34" t="s">
        <v>251</v>
      </c>
      <c r="G4" s="34" t="s">
        <v>247</v>
      </c>
      <c r="H4" s="37" t="s">
        <v>248</v>
      </c>
    </row>
    <row r="5" spans="1:8" x14ac:dyDescent="0.3">
      <c r="A5" s="34">
        <v>750</v>
      </c>
      <c r="B5" s="34" t="s">
        <v>33</v>
      </c>
      <c r="C5" s="35" t="s">
        <v>252</v>
      </c>
      <c r="D5" s="35" t="s">
        <v>253</v>
      </c>
      <c r="E5" s="34">
        <v>6</v>
      </c>
      <c r="F5" s="34" t="s">
        <v>254</v>
      </c>
      <c r="G5" s="34" t="s">
        <v>247</v>
      </c>
      <c r="H5" s="37" t="s">
        <v>248</v>
      </c>
    </row>
    <row r="6" spans="1:8" x14ac:dyDescent="0.3">
      <c r="A6" s="34">
        <v>700</v>
      </c>
      <c r="B6" s="34" t="s">
        <v>30</v>
      </c>
      <c r="C6" s="35" t="s">
        <v>131</v>
      </c>
      <c r="D6" s="35" t="s">
        <v>255</v>
      </c>
      <c r="E6" s="34">
        <v>5</v>
      </c>
      <c r="F6" s="34" t="s">
        <v>254</v>
      </c>
      <c r="G6" s="34" t="s">
        <v>247</v>
      </c>
      <c r="H6" s="37" t="s">
        <v>248</v>
      </c>
    </row>
    <row r="7" spans="1:8" x14ac:dyDescent="0.3">
      <c r="A7" s="34">
        <v>650</v>
      </c>
      <c r="B7" s="34" t="s">
        <v>49</v>
      </c>
      <c r="C7" s="35" t="s">
        <v>51</v>
      </c>
      <c r="D7" s="35" t="s">
        <v>256</v>
      </c>
      <c r="E7" s="34">
        <v>16</v>
      </c>
      <c r="F7" s="34" t="s">
        <v>251</v>
      </c>
      <c r="G7" s="34" t="s">
        <v>247</v>
      </c>
      <c r="H7" s="39" t="s">
        <v>257</v>
      </c>
    </row>
    <row r="8" spans="1:8" x14ac:dyDescent="0.3">
      <c r="A8" s="34">
        <v>600</v>
      </c>
      <c r="B8" s="34" t="s">
        <v>36</v>
      </c>
      <c r="C8" s="35" t="s">
        <v>38</v>
      </c>
      <c r="D8" s="35" t="s">
        <v>258</v>
      </c>
      <c r="E8" s="34">
        <v>3</v>
      </c>
      <c r="F8" s="34" t="s">
        <v>254</v>
      </c>
      <c r="G8" s="34" t="s">
        <v>247</v>
      </c>
      <c r="H8" s="37" t="s">
        <v>248</v>
      </c>
    </row>
    <row r="9" spans="1:8" x14ac:dyDescent="0.3">
      <c r="A9" s="34">
        <v>550</v>
      </c>
      <c r="B9" s="34" t="s">
        <v>39</v>
      </c>
      <c r="C9" s="35" t="s">
        <v>41</v>
      </c>
      <c r="D9" s="35" t="s">
        <v>259</v>
      </c>
      <c r="E9" s="34">
        <v>4</v>
      </c>
      <c r="F9" s="34" t="s">
        <v>254</v>
      </c>
      <c r="G9" s="34" t="s">
        <v>247</v>
      </c>
      <c r="H9" s="37" t="s">
        <v>248</v>
      </c>
    </row>
    <row r="10" spans="1:8" x14ac:dyDescent="0.3">
      <c r="A10" s="34">
        <v>500</v>
      </c>
      <c r="B10" s="34" t="s">
        <v>59</v>
      </c>
      <c r="C10" s="35" t="s">
        <v>62</v>
      </c>
      <c r="D10" s="35" t="s">
        <v>260</v>
      </c>
      <c r="E10" s="34">
        <v>8</v>
      </c>
      <c r="F10" s="34" t="s">
        <v>261</v>
      </c>
      <c r="G10" s="34" t="s">
        <v>247</v>
      </c>
      <c r="H10" s="39" t="s">
        <v>257</v>
      </c>
    </row>
    <row r="11" spans="1:8" x14ac:dyDescent="0.3">
      <c r="A11" s="34">
        <v>450</v>
      </c>
      <c r="B11" s="34" t="s">
        <v>69</v>
      </c>
      <c r="C11" s="35" t="s">
        <v>71</v>
      </c>
      <c r="D11" s="35" t="s">
        <v>262</v>
      </c>
      <c r="E11" s="34">
        <v>5</v>
      </c>
      <c r="F11" s="34" t="s">
        <v>254</v>
      </c>
      <c r="G11" s="34" t="s">
        <v>247</v>
      </c>
      <c r="H11" s="39" t="s">
        <v>257</v>
      </c>
    </row>
    <row r="12" spans="1:8" x14ac:dyDescent="0.3">
      <c r="A12" s="34">
        <v>400</v>
      </c>
      <c r="B12" s="34" t="s">
        <v>72</v>
      </c>
      <c r="C12" s="35" t="s">
        <v>74</v>
      </c>
      <c r="D12" s="35" t="s">
        <v>263</v>
      </c>
      <c r="E12" s="34">
        <v>8</v>
      </c>
      <c r="F12" s="34" t="s">
        <v>264</v>
      </c>
      <c r="G12" s="34" t="s">
        <v>247</v>
      </c>
      <c r="H12" s="39" t="s">
        <v>257</v>
      </c>
    </row>
    <row r="13" spans="1:8" x14ac:dyDescent="0.3">
      <c r="A13" s="34">
        <v>350</v>
      </c>
      <c r="B13" s="34" t="s">
        <v>63</v>
      </c>
      <c r="C13" s="35" t="s">
        <v>65</v>
      </c>
      <c r="D13" s="35" t="s">
        <v>265</v>
      </c>
      <c r="E13" s="34">
        <v>19</v>
      </c>
      <c r="F13" s="34" t="s">
        <v>266</v>
      </c>
      <c r="G13" s="34" t="s">
        <v>247</v>
      </c>
      <c r="H13" s="36" t="s">
        <v>267</v>
      </c>
    </row>
    <row r="14" spans="1:8" x14ac:dyDescent="0.3">
      <c r="A14" s="34">
        <v>300</v>
      </c>
      <c r="B14" s="34" t="s">
        <v>85</v>
      </c>
      <c r="C14" s="35" t="s">
        <v>88</v>
      </c>
      <c r="D14" s="35" t="s">
        <v>268</v>
      </c>
      <c r="E14" s="34">
        <v>6</v>
      </c>
      <c r="F14" s="34" t="s">
        <v>261</v>
      </c>
      <c r="G14" s="34" t="s">
        <v>247</v>
      </c>
      <c r="H14" s="37" t="s">
        <v>248</v>
      </c>
    </row>
    <row r="15" spans="1:8" x14ac:dyDescent="0.3">
      <c r="A15" s="34">
        <v>280</v>
      </c>
      <c r="B15" s="34" t="s">
        <v>89</v>
      </c>
      <c r="C15" s="35" t="s">
        <v>91</v>
      </c>
      <c r="D15" s="35" t="s">
        <v>269</v>
      </c>
      <c r="E15" s="34">
        <v>5</v>
      </c>
      <c r="F15" s="34" t="s">
        <v>270</v>
      </c>
      <c r="G15" s="34" t="s">
        <v>247</v>
      </c>
      <c r="H15" s="37" t="s">
        <v>248</v>
      </c>
    </row>
    <row r="16" spans="1:8" x14ac:dyDescent="0.3">
      <c r="A16" s="34">
        <v>260</v>
      </c>
      <c r="B16" s="34" t="s">
        <v>92</v>
      </c>
      <c r="C16" s="35" t="s">
        <v>94</v>
      </c>
      <c r="D16" s="35" t="s">
        <v>271</v>
      </c>
      <c r="E16" s="34">
        <v>7</v>
      </c>
      <c r="F16" s="34" t="s">
        <v>270</v>
      </c>
      <c r="G16" s="34" t="s">
        <v>247</v>
      </c>
      <c r="H16" s="37" t="s">
        <v>248</v>
      </c>
    </row>
    <row r="17" spans="1:8" x14ac:dyDescent="0.3">
      <c r="A17" s="34">
        <v>250</v>
      </c>
      <c r="B17" s="34" t="s">
        <v>75</v>
      </c>
      <c r="C17" s="35" t="s">
        <v>77</v>
      </c>
      <c r="D17" s="35" t="s">
        <v>272</v>
      </c>
      <c r="E17" s="34">
        <v>7</v>
      </c>
      <c r="F17" s="34" t="s">
        <v>264</v>
      </c>
      <c r="G17" s="34" t="s">
        <v>247</v>
      </c>
      <c r="H17" s="39" t="s">
        <v>257</v>
      </c>
    </row>
    <row r="18" spans="1:8" x14ac:dyDescent="0.3">
      <c r="A18" s="34">
        <v>220</v>
      </c>
      <c r="B18" s="34" t="s">
        <v>102</v>
      </c>
      <c r="C18" s="35" t="s">
        <v>104</v>
      </c>
      <c r="D18" s="35" t="s">
        <v>273</v>
      </c>
      <c r="E18" s="34">
        <v>8</v>
      </c>
      <c r="F18" s="34" t="s">
        <v>270</v>
      </c>
      <c r="G18" s="34" t="s">
        <v>247</v>
      </c>
      <c r="H18" s="39" t="s">
        <v>257</v>
      </c>
    </row>
    <row r="19" spans="1:8" x14ac:dyDescent="0.3">
      <c r="A19" s="34">
        <v>200</v>
      </c>
      <c r="B19" s="34" t="s">
        <v>108</v>
      </c>
      <c r="C19" s="35" t="s">
        <v>111</v>
      </c>
      <c r="D19" s="35" t="s">
        <v>274</v>
      </c>
      <c r="E19" s="34">
        <v>5</v>
      </c>
      <c r="F19" s="34" t="s">
        <v>275</v>
      </c>
      <c r="G19" s="34" t="s">
        <v>247</v>
      </c>
      <c r="H19" s="37" t="s">
        <v>248</v>
      </c>
    </row>
    <row r="20" spans="1:8" x14ac:dyDescent="0.3">
      <c r="A20" s="34">
        <v>150</v>
      </c>
      <c r="B20" s="34" t="s">
        <v>105</v>
      </c>
      <c r="C20" s="35" t="s">
        <v>107</v>
      </c>
      <c r="D20" s="35" t="s">
        <v>276</v>
      </c>
      <c r="E20" s="34">
        <v>7</v>
      </c>
      <c r="F20" s="34" t="s">
        <v>277</v>
      </c>
      <c r="G20" s="34" t="s">
        <v>247</v>
      </c>
      <c r="H20" s="36" t="s">
        <v>267</v>
      </c>
    </row>
    <row r="21" spans="1:8" x14ac:dyDescent="0.3">
      <c r="A21" s="34">
        <v>100</v>
      </c>
      <c r="B21" s="34" t="s">
        <v>112</v>
      </c>
      <c r="C21" s="35" t="s">
        <v>114</v>
      </c>
      <c r="D21" s="35" t="s">
        <v>278</v>
      </c>
      <c r="E21" s="34">
        <v>4</v>
      </c>
      <c r="F21" s="34" t="s">
        <v>275</v>
      </c>
      <c r="G21" s="34" t="s">
        <v>247</v>
      </c>
      <c r="H21" s="39" t="s">
        <v>257</v>
      </c>
    </row>
    <row r="22" spans="1:8" x14ac:dyDescent="0.3">
      <c r="A22" s="34">
        <v>50</v>
      </c>
      <c r="B22" s="34" t="s">
        <v>115</v>
      </c>
      <c r="C22" s="35" t="s">
        <v>117</v>
      </c>
      <c r="D22" s="35" t="s">
        <v>279</v>
      </c>
      <c r="E22" s="34">
        <v>10</v>
      </c>
      <c r="F22" s="34" t="s">
        <v>280</v>
      </c>
      <c r="G22" s="34" t="s">
        <v>247</v>
      </c>
      <c r="H22" s="36" t="s">
        <v>267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PERT-анализ</vt:lpstr>
      <vt:lpstr>Матрица ответственности</vt:lpstr>
      <vt:lpstr>Матрица рисков</vt:lpstr>
      <vt:lpstr>Диаграмма Ганта</vt:lpstr>
      <vt:lpstr>Бэклог продукта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Алина Люлюшкина</cp:lastModifiedBy>
  <cp:revision>0</cp:revision>
  <dcterms:created xsi:type="dcterms:W3CDTF">2026-02-24T18:29:43Z</dcterms:created>
  <dcterms:modified xsi:type="dcterms:W3CDTF">2026-03-16T14:45:03Z</dcterms:modified>
  <dc:language>en-US</dc:language>
</cp:coreProperties>
</file>